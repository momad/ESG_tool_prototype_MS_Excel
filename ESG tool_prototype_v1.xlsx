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assan\Downloads\ESG\Findings\Tool\"/>
    </mc:Choice>
  </mc:AlternateContent>
  <xr:revisionPtr revIDLastSave="0" documentId="13_ncr:1_{2F302B57-9F6F-4551-B27C-6EEEC0FAB120}" xr6:coauthVersionLast="47" xr6:coauthVersionMax="47" xr10:uidLastSave="{00000000-0000-0000-0000-000000000000}"/>
  <bookViews>
    <workbookView xWindow="-108" yWindow="-108" windowWidth="23256" windowHeight="12576" activeTab="7" xr2:uid="{5ACC8493-BBC4-44D8-BB06-2DE4487D661A}"/>
  </bookViews>
  <sheets>
    <sheet name="Home" sheetId="11" r:id="rId1"/>
    <sheet name="Energy" sheetId="3" r:id="rId2"/>
    <sheet name="Carbon" sheetId="12" r:id="rId3"/>
    <sheet name="Water" sheetId="13" r:id="rId4"/>
    <sheet name="Waste_Materials" sheetId="14" r:id="rId5"/>
    <sheet name="Biodiversity" sheetId="15" r:id="rId6"/>
    <sheet name="Metrics" sheetId="8" r:id="rId7"/>
    <sheet name="Inputs" sheetId="7" r:id="rId8"/>
    <sheet name="Conversions" sheetId="5" r:id="rId9"/>
    <sheet name="ROUGH" sheetId="9" r:id="rId10"/>
  </sheets>
  <definedNames>
    <definedName name="_xlchart.v1.2" hidden="1">Metrics!$B$34:$B$37</definedName>
    <definedName name="_xlchart.v1.3" hidden="1">Metrics!$C$34:$C$37</definedName>
    <definedName name="_xlchart.v1.4" hidden="1">Metrics!$B$49:$B$51</definedName>
    <definedName name="_xlchart.v1.5" hidden="1">Metrics!$C$49:$C$51</definedName>
    <definedName name="_xlchart.v1.6" hidden="1">Inputs!$B$63:$B$73</definedName>
    <definedName name="_xlchart.v1.7" hidden="1">Inputs!$G$62</definedName>
    <definedName name="_xlchart.v1.8" hidden="1">Inputs!$L$63:$L$73</definedName>
    <definedName name="_xlchart.v2.0" hidden="1">Metrics!$B$14:$B$20</definedName>
    <definedName name="_xlchart.v2.1" hidden="1">Metrics!$C$14:$C$20</definedName>
    <definedName name="enum_ListDays">#REF!</definedName>
    <definedName name="enum_ListIdentifier">#REF!</definedName>
    <definedName name="enum_ListMonth">#REF!</definedName>
    <definedName name="enum_ListOfCurrencies">#REF!</definedName>
    <definedName name="enum_ListYear">#REF!</definedName>
    <definedName name="FuelList" localSheetId="5">tblConversions[Item]</definedName>
    <definedName name="FuelList" localSheetId="2">tblConversions[Item]</definedName>
    <definedName name="FuelList" localSheetId="0">tblConversions[Item]</definedName>
    <definedName name="FuelList" localSheetId="4">tblConversions[Item]</definedName>
    <definedName name="FuelList" localSheetId="3">tblConversions[Item]</definedName>
    <definedName name="FuelList">tblConversions[Item]</definedName>
    <definedName name="template_label_always_to_be_reported">#REF!</definedName>
    <definedName name="template_label_currency_of_the_monetary_values_in_the_report">#REF!</definedName>
    <definedName name="template_label_description_of_how_it_applies_these_principles">#REF!</definedName>
    <definedName name="template_label_ending_month">#REF!</definedName>
    <definedName name="template_label_ending_year">#REF!</definedName>
    <definedName name="template_label_identifier_of_the_reporting_entity">#REF!</definedName>
    <definedName name="template_label_information_on_the_report_necessary_for_xbrl">#REF!</definedName>
    <definedName name="template_label_name_of_the_reporting_entity">#REF!</definedName>
    <definedName name="template_label_reporting_period_end_date">#REF!</definedName>
    <definedName name="template_label_reporting_period_start_date">#REF!</definedName>
    <definedName name="template_label_starting_day">#REF!</definedName>
    <definedName name="template_label_starting_month">#REF!</definedName>
    <definedName name="template_label_starting_year">#REF!</definedName>
    <definedName name="template_label_undertaking_applies_circular_economy_principles">#REF!</definedName>
  </definedNames>
  <calcPr calcId="191029"/>
  <webPublishing allowPng="1" targetScreenSize="1280x1024" dpi="120"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8" l="1"/>
  <c r="D92" i="8"/>
  <c r="D43" i="8"/>
  <c r="D82" i="8"/>
  <c r="D83" i="8"/>
  <c r="D103" i="8"/>
  <c r="D104" i="8"/>
  <c r="D105" i="8"/>
  <c r="D10" i="8"/>
  <c r="D9" i="8"/>
  <c r="D8" i="8"/>
  <c r="D7" i="8"/>
  <c r="D6" i="8"/>
  <c r="D5" i="8"/>
  <c r="G15" i="15" l="1"/>
  <c r="F15" i="15"/>
  <c r="G17" i="15"/>
  <c r="F17" i="15"/>
  <c r="G12" i="15"/>
  <c r="F12" i="15"/>
  <c r="C97" i="7"/>
  <c r="C102" i="7"/>
  <c r="K102" i="7"/>
  <c r="J102" i="7"/>
  <c r="I102" i="7"/>
  <c r="F102" i="7"/>
  <c r="E102" i="7"/>
  <c r="D102" i="7"/>
  <c r="K101" i="7"/>
  <c r="J101" i="7"/>
  <c r="I101" i="7"/>
  <c r="F101" i="7"/>
  <c r="E101" i="7"/>
  <c r="D101" i="7"/>
  <c r="C101" i="7"/>
  <c r="K100" i="7"/>
  <c r="J100" i="7"/>
  <c r="I100" i="7"/>
  <c r="F100" i="7"/>
  <c r="E100" i="7"/>
  <c r="D100" i="7"/>
  <c r="C100" i="7"/>
  <c r="K99" i="7"/>
  <c r="J99" i="7"/>
  <c r="I99" i="7"/>
  <c r="F99" i="7"/>
  <c r="E99" i="7"/>
  <c r="D99" i="7"/>
  <c r="C99" i="7"/>
  <c r="C6" i="15"/>
  <c r="H19" i="14"/>
  <c r="D6" i="11" s="1"/>
  <c r="K72" i="7"/>
  <c r="J72" i="7"/>
  <c r="N72" i="7" s="1"/>
  <c r="I72" i="7"/>
  <c r="F72" i="7"/>
  <c r="E72" i="7"/>
  <c r="D72" i="7"/>
  <c r="H18" i="15"/>
  <c r="H18" i="13"/>
  <c r="H18" i="11" s="1"/>
  <c r="H18" i="12"/>
  <c r="E31" i="7"/>
  <c r="E32" i="7"/>
  <c r="E33" i="7"/>
  <c r="E30" i="7"/>
  <c r="I19" i="7"/>
  <c r="F6" i="3"/>
  <c r="C6" i="3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74" i="7"/>
  <c r="C75" i="7"/>
  <c r="C76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6" i="7"/>
  <c r="K85" i="7"/>
  <c r="J85" i="7"/>
  <c r="O85" i="7" s="1"/>
  <c r="I85" i="7"/>
  <c r="F85" i="7"/>
  <c r="E85" i="7"/>
  <c r="K84" i="7"/>
  <c r="J84" i="7"/>
  <c r="N84" i="7" s="1"/>
  <c r="I84" i="7"/>
  <c r="F84" i="7"/>
  <c r="E84" i="7"/>
  <c r="D84" i="7"/>
  <c r="F86" i="7"/>
  <c r="K95" i="7"/>
  <c r="J95" i="7"/>
  <c r="I95" i="7"/>
  <c r="F95" i="7"/>
  <c r="E95" i="7"/>
  <c r="D95" i="7"/>
  <c r="K93" i="7"/>
  <c r="J93" i="7"/>
  <c r="F93" i="7"/>
  <c r="K94" i="7"/>
  <c r="J94" i="7"/>
  <c r="I94" i="7"/>
  <c r="F94" i="7"/>
  <c r="E94" i="7"/>
  <c r="D94" i="7"/>
  <c r="I93" i="7"/>
  <c r="E93" i="7"/>
  <c r="D93" i="7"/>
  <c r="I86" i="7"/>
  <c r="I87" i="7"/>
  <c r="I88" i="7"/>
  <c r="K86" i="7"/>
  <c r="K87" i="7"/>
  <c r="K88" i="7"/>
  <c r="F87" i="7"/>
  <c r="F88" i="7"/>
  <c r="E87" i="7"/>
  <c r="E88" i="7"/>
  <c r="J88" i="7"/>
  <c r="N88" i="7" s="1"/>
  <c r="J87" i="7"/>
  <c r="O87" i="7" s="1"/>
  <c r="J86" i="7"/>
  <c r="O86" i="7" s="1"/>
  <c r="E86" i="7"/>
  <c r="D86" i="7"/>
  <c r="K80" i="7"/>
  <c r="J80" i="7"/>
  <c r="O80" i="7" s="1"/>
  <c r="I80" i="7"/>
  <c r="F80" i="7"/>
  <c r="E80" i="7"/>
  <c r="D80" i="7"/>
  <c r="K79" i="7"/>
  <c r="J79" i="7"/>
  <c r="N79" i="7" s="1"/>
  <c r="I79" i="7"/>
  <c r="F79" i="7"/>
  <c r="E79" i="7"/>
  <c r="D79" i="7"/>
  <c r="K78" i="7"/>
  <c r="J78" i="7"/>
  <c r="O78" i="7" s="1"/>
  <c r="I78" i="7"/>
  <c r="F78" i="7"/>
  <c r="E78" i="7"/>
  <c r="D78" i="7"/>
  <c r="J77" i="7"/>
  <c r="O77" i="7" s="1"/>
  <c r="K64" i="7"/>
  <c r="K65" i="7"/>
  <c r="K66" i="7"/>
  <c r="K67" i="7"/>
  <c r="K68" i="7"/>
  <c r="K69" i="7"/>
  <c r="K70" i="7"/>
  <c r="K71" i="7"/>
  <c r="K73" i="7"/>
  <c r="K77" i="7"/>
  <c r="K63" i="7"/>
  <c r="I64" i="7"/>
  <c r="I65" i="7"/>
  <c r="I66" i="7"/>
  <c r="I67" i="7"/>
  <c r="I68" i="7"/>
  <c r="I69" i="7"/>
  <c r="I70" i="7"/>
  <c r="I71" i="7"/>
  <c r="I73" i="7"/>
  <c r="J69" i="7"/>
  <c r="O69" i="7" s="1"/>
  <c r="J70" i="7"/>
  <c r="N70" i="7" s="1"/>
  <c r="J71" i="7"/>
  <c r="N71" i="7" s="1"/>
  <c r="J73" i="7"/>
  <c r="N73" i="7" s="1"/>
  <c r="F69" i="7"/>
  <c r="F70" i="7"/>
  <c r="F71" i="7"/>
  <c r="E69" i="7"/>
  <c r="E70" i="7"/>
  <c r="E71" i="7"/>
  <c r="E73" i="7"/>
  <c r="D69" i="7"/>
  <c r="D70" i="7"/>
  <c r="D71" i="7"/>
  <c r="D73" i="7"/>
  <c r="J68" i="7"/>
  <c r="O68" i="7" s="1"/>
  <c r="F68" i="7"/>
  <c r="E68" i="7"/>
  <c r="D68" i="7"/>
  <c r="J67" i="7"/>
  <c r="O67" i="7" s="1"/>
  <c r="F67" i="7"/>
  <c r="E67" i="7"/>
  <c r="D67" i="7"/>
  <c r="J66" i="7"/>
  <c r="N66" i="7" s="1"/>
  <c r="F66" i="7"/>
  <c r="E66" i="7"/>
  <c r="D66" i="7"/>
  <c r="J65" i="7"/>
  <c r="N65" i="7" s="1"/>
  <c r="F65" i="7"/>
  <c r="E65" i="7"/>
  <c r="D65" i="7"/>
  <c r="J64" i="7"/>
  <c r="L64" i="7" s="1"/>
  <c r="F64" i="7"/>
  <c r="E64" i="7"/>
  <c r="D64" i="7"/>
  <c r="D77" i="7"/>
  <c r="I77" i="7"/>
  <c r="F77" i="7"/>
  <c r="E77" i="7"/>
  <c r="J63" i="7"/>
  <c r="O63" i="7" s="1"/>
  <c r="I63" i="7"/>
  <c r="F63" i="7"/>
  <c r="E63" i="7"/>
  <c r="D63" i="7"/>
  <c r="L57" i="7"/>
  <c r="C60" i="8" s="1"/>
  <c r="L58" i="7"/>
  <c r="C61" i="8" s="1"/>
  <c r="L56" i="7"/>
  <c r="C59" i="8" s="1"/>
  <c r="J52" i="7"/>
  <c r="N52" i="7" s="1"/>
  <c r="I52" i="7"/>
  <c r="F52" i="7"/>
  <c r="E52" i="7"/>
  <c r="D52" i="7"/>
  <c r="K52" i="7" s="1"/>
  <c r="J48" i="7"/>
  <c r="N48" i="7" s="1"/>
  <c r="I48" i="7"/>
  <c r="F48" i="7"/>
  <c r="E48" i="7"/>
  <c r="D48" i="7"/>
  <c r="K48" i="7" s="1"/>
  <c r="J46" i="7"/>
  <c r="O46" i="7" s="1"/>
  <c r="I46" i="7"/>
  <c r="F46" i="7"/>
  <c r="E46" i="7"/>
  <c r="D46" i="7"/>
  <c r="D30" i="7"/>
  <c r="K30" i="7" s="1"/>
  <c r="L38" i="7"/>
  <c r="C41" i="8" s="1"/>
  <c r="L39" i="7"/>
  <c r="C42" i="8" s="1"/>
  <c r="L40" i="7"/>
  <c r="L37" i="7"/>
  <c r="C40" i="8" s="1"/>
  <c r="J19" i="7"/>
  <c r="D6" i="7"/>
  <c r="K19" i="7"/>
  <c r="K20" i="7"/>
  <c r="K21" i="7"/>
  <c r="K22" i="7"/>
  <c r="K23" i="7"/>
  <c r="K24" i="7"/>
  <c r="K25" i="7"/>
  <c r="K26" i="7"/>
  <c r="J20" i="7"/>
  <c r="J21" i="7"/>
  <c r="J22" i="7"/>
  <c r="J23" i="7"/>
  <c r="J24" i="7"/>
  <c r="J25" i="7"/>
  <c r="J26" i="7"/>
  <c r="I21" i="7"/>
  <c r="I22" i="7"/>
  <c r="I23" i="7"/>
  <c r="I24" i="7"/>
  <c r="I25" i="7"/>
  <c r="I26" i="7"/>
  <c r="F19" i="7"/>
  <c r="F20" i="7"/>
  <c r="F21" i="7"/>
  <c r="F22" i="7"/>
  <c r="F23" i="7"/>
  <c r="F24" i="7"/>
  <c r="F25" i="7"/>
  <c r="F26" i="7"/>
  <c r="E20" i="7"/>
  <c r="E21" i="7"/>
  <c r="E22" i="7"/>
  <c r="E23" i="7"/>
  <c r="E24" i="7"/>
  <c r="E25" i="7"/>
  <c r="E26" i="7"/>
  <c r="D21" i="7"/>
  <c r="D22" i="7"/>
  <c r="D23" i="7"/>
  <c r="D24" i="7"/>
  <c r="D25" i="7"/>
  <c r="D26" i="7"/>
  <c r="K18" i="7"/>
  <c r="J18" i="7"/>
  <c r="I18" i="7"/>
  <c r="F18" i="7"/>
  <c r="E18" i="7"/>
  <c r="D18" i="7"/>
  <c r="N33" i="7"/>
  <c r="I32" i="7"/>
  <c r="I33" i="7"/>
  <c r="L33" i="7" s="1"/>
  <c r="C37" i="8" s="1"/>
  <c r="D37" i="8" s="1"/>
  <c r="F32" i="7"/>
  <c r="F33" i="7"/>
  <c r="D33" i="7"/>
  <c r="D32" i="7"/>
  <c r="K32" i="7" s="1"/>
  <c r="J32" i="7"/>
  <c r="F31" i="7"/>
  <c r="F30" i="7"/>
  <c r="D31" i="7"/>
  <c r="K31" i="7" s="1"/>
  <c r="J30" i="7"/>
  <c r="O30" i="7" s="1"/>
  <c r="I30" i="7"/>
  <c r="J31" i="7"/>
  <c r="O31" i="7" s="1"/>
  <c r="I31" i="7"/>
  <c r="J45" i="7"/>
  <c r="O45" i="7" s="1"/>
  <c r="J47" i="7"/>
  <c r="O47" i="7" s="1"/>
  <c r="J44" i="7"/>
  <c r="O44" i="7" s="1"/>
  <c r="I45" i="7"/>
  <c r="I47" i="7"/>
  <c r="I44" i="7"/>
  <c r="I20" i="7"/>
  <c r="I12" i="7"/>
  <c r="I13" i="7"/>
  <c r="I14" i="7"/>
  <c r="I11" i="7"/>
  <c r="I7" i="7"/>
  <c r="L7" i="7" s="1"/>
  <c r="I8" i="7"/>
  <c r="L8" i="7" s="1"/>
  <c r="I6" i="7"/>
  <c r="F45" i="7"/>
  <c r="F47" i="7"/>
  <c r="F44" i="7"/>
  <c r="E45" i="7"/>
  <c r="E47" i="7"/>
  <c r="E44" i="7"/>
  <c r="D45" i="7"/>
  <c r="K45" i="7" s="1"/>
  <c r="D47" i="7"/>
  <c r="K47" i="7" s="1"/>
  <c r="D44" i="7"/>
  <c r="K44" i="7" s="1"/>
  <c r="K14" i="7"/>
  <c r="K12" i="7"/>
  <c r="F6" i="12" l="1"/>
  <c r="D40" i="8"/>
  <c r="G6" i="12"/>
  <c r="D42" i="8"/>
  <c r="H19" i="12"/>
  <c r="D41" i="8"/>
  <c r="F6" i="13"/>
  <c r="D59" i="8"/>
  <c r="H19" i="13"/>
  <c r="H19" i="11" s="1"/>
  <c r="D61" i="8"/>
  <c r="G6" i="13"/>
  <c r="D60" i="8"/>
  <c r="L100" i="7"/>
  <c r="C111" i="8" s="1"/>
  <c r="D111" i="8" s="1"/>
  <c r="L101" i="7"/>
  <c r="C109" i="8" s="1"/>
  <c r="D109" i="8" s="1"/>
  <c r="L102" i="7"/>
  <c r="C110" i="8" s="1"/>
  <c r="D110" i="8" s="1"/>
  <c r="L99" i="7"/>
  <c r="N87" i="7"/>
  <c r="N69" i="7"/>
  <c r="O66" i="7"/>
  <c r="O73" i="7"/>
  <c r="O65" i="7"/>
  <c r="N68" i="7"/>
  <c r="C67" i="8"/>
  <c r="D67" i="8" s="1"/>
  <c r="O72" i="7"/>
  <c r="O64" i="7"/>
  <c r="N67" i="7"/>
  <c r="C69" i="8"/>
  <c r="D69" i="8" s="1"/>
  <c r="O71" i="7"/>
  <c r="C75" i="8"/>
  <c r="D75" i="8" s="1"/>
  <c r="O70" i="7"/>
  <c r="C76" i="8"/>
  <c r="D76" i="8" s="1"/>
  <c r="N64" i="7"/>
  <c r="C77" i="8"/>
  <c r="D77" i="8" s="1"/>
  <c r="C78" i="8"/>
  <c r="D78" i="8" s="1"/>
  <c r="N86" i="7"/>
  <c r="C87" i="8" s="1"/>
  <c r="D87" i="8" s="1"/>
  <c r="N85" i="7"/>
  <c r="C86" i="8" s="1"/>
  <c r="D86" i="8" s="1"/>
  <c r="O84" i="7"/>
  <c r="O88" i="7"/>
  <c r="L72" i="7"/>
  <c r="L84" i="7"/>
  <c r="H19" i="15"/>
  <c r="L85" i="7"/>
  <c r="L95" i="7"/>
  <c r="L94" i="7"/>
  <c r="L93" i="7"/>
  <c r="L71" i="7"/>
  <c r="L88" i="7"/>
  <c r="L87" i="7"/>
  <c r="L86" i="7"/>
  <c r="C89" i="8" s="1"/>
  <c r="D89" i="8" s="1"/>
  <c r="O79" i="7"/>
  <c r="L80" i="7"/>
  <c r="L79" i="7"/>
  <c r="L78" i="7"/>
  <c r="L73" i="7"/>
  <c r="L70" i="7"/>
  <c r="L69" i="7"/>
  <c r="L68" i="7"/>
  <c r="L66" i="7"/>
  <c r="N80" i="7"/>
  <c r="N78" i="7"/>
  <c r="L67" i="7"/>
  <c r="L65" i="7"/>
  <c r="C48" i="8"/>
  <c r="D48" i="8" s="1"/>
  <c r="L63" i="7"/>
  <c r="L77" i="7"/>
  <c r="C73" i="8" s="1"/>
  <c r="D73" i="8" s="1"/>
  <c r="N77" i="7"/>
  <c r="N63" i="7"/>
  <c r="L52" i="7"/>
  <c r="O52" i="7"/>
  <c r="L48" i="7"/>
  <c r="O48" i="7"/>
  <c r="K46" i="7"/>
  <c r="L46" i="7"/>
  <c r="N46" i="7"/>
  <c r="M26" i="7"/>
  <c r="M24" i="7"/>
  <c r="M23" i="7"/>
  <c r="M18" i="7"/>
  <c r="M22" i="7"/>
  <c r="M21" i="7"/>
  <c r="M20" i="7"/>
  <c r="M19" i="7"/>
  <c r="M25" i="7"/>
  <c r="L32" i="7"/>
  <c r="M32" i="7"/>
  <c r="M31" i="7"/>
  <c r="N32" i="7"/>
  <c r="M30" i="7"/>
  <c r="O32" i="7"/>
  <c r="L30" i="7"/>
  <c r="N30" i="7"/>
  <c r="L31" i="7"/>
  <c r="N31" i="7"/>
  <c r="L45" i="7"/>
  <c r="N45" i="7"/>
  <c r="N47" i="7"/>
  <c r="L47" i="7"/>
  <c r="L44" i="7"/>
  <c r="N44" i="7"/>
  <c r="C66" i="8" l="1"/>
  <c r="D66" i="8" s="1"/>
  <c r="E2" i="9"/>
  <c r="E3" i="9"/>
  <c r="C65" i="8"/>
  <c r="D65" i="8" s="1"/>
  <c r="C68" i="8"/>
  <c r="D68" i="8" s="1"/>
  <c r="C74" i="8"/>
  <c r="D74" i="8" s="1"/>
  <c r="C88" i="8"/>
  <c r="C93" i="8"/>
  <c r="D93" i="8" s="1"/>
  <c r="C56" i="8"/>
  <c r="D56" i="8" s="1"/>
  <c r="C50" i="8"/>
  <c r="D50" i="8" s="1"/>
  <c r="C94" i="8"/>
  <c r="C90" i="8"/>
  <c r="D90" i="8" s="1"/>
  <c r="E19" i="7"/>
  <c r="D19" i="7"/>
  <c r="D20" i="7"/>
  <c r="E7" i="7"/>
  <c r="E8" i="7"/>
  <c r="O8" i="7" s="1"/>
  <c r="E11" i="7"/>
  <c r="E12" i="7"/>
  <c r="E13" i="7"/>
  <c r="E14" i="7"/>
  <c r="N14" i="7" s="1"/>
  <c r="E6" i="7"/>
  <c r="K8" i="7"/>
  <c r="F8" i="7"/>
  <c r="D8" i="7"/>
  <c r="K7" i="7"/>
  <c r="K11" i="7"/>
  <c r="K13" i="7"/>
  <c r="K6" i="7"/>
  <c r="J13" i="7"/>
  <c r="L13" i="7" s="1"/>
  <c r="J14" i="7"/>
  <c r="L14" i="7" s="1"/>
  <c r="F11" i="7"/>
  <c r="F12" i="7"/>
  <c r="F13" i="7"/>
  <c r="F14" i="7"/>
  <c r="F7" i="7"/>
  <c r="F6" i="7"/>
  <c r="D11" i="7"/>
  <c r="D12" i="7"/>
  <c r="D13" i="7"/>
  <c r="D14" i="7"/>
  <c r="D7" i="7"/>
  <c r="C108" i="8" s="1"/>
  <c r="D108" i="8" s="1"/>
  <c r="J12" i="7"/>
  <c r="L12" i="7" s="1"/>
  <c r="J11" i="7"/>
  <c r="L11" i="7" s="1"/>
  <c r="J6" i="7"/>
  <c r="L6" i="7" s="1"/>
  <c r="G6" i="14" l="1"/>
  <c r="D88" i="8"/>
  <c r="F6" i="14"/>
  <c r="D94" i="8"/>
  <c r="C70" i="8"/>
  <c r="D70" i="8" s="1"/>
  <c r="C34" i="8"/>
  <c r="D34" i="8" s="1"/>
  <c r="C36" i="8"/>
  <c r="D36" i="8" s="1"/>
  <c r="C35" i="8"/>
  <c r="D35" i="8" s="1"/>
  <c r="C91" i="8"/>
  <c r="C99" i="8"/>
  <c r="C100" i="8"/>
  <c r="C98" i="8"/>
  <c r="D98" i="8" s="1"/>
  <c r="C51" i="8"/>
  <c r="D51" i="8" s="1"/>
  <c r="C49" i="8"/>
  <c r="D49" i="8" s="1"/>
  <c r="C25" i="8"/>
  <c r="D25" i="8" s="1"/>
  <c r="C26" i="8"/>
  <c r="D26" i="8" s="1"/>
  <c r="N6" i="7"/>
  <c r="M7" i="7"/>
  <c r="C31" i="8"/>
  <c r="D31" i="8" s="1"/>
  <c r="C47" i="8"/>
  <c r="M11" i="7"/>
  <c r="O13" i="7"/>
  <c r="M6" i="7"/>
  <c r="O12" i="7"/>
  <c r="O11" i="7"/>
  <c r="C14" i="8"/>
  <c r="D14" i="8" s="1"/>
  <c r="O6" i="7"/>
  <c r="C17" i="8"/>
  <c r="D17" i="8" s="1"/>
  <c r="O14" i="7"/>
  <c r="M14" i="7"/>
  <c r="N13" i="7"/>
  <c r="O7" i="7"/>
  <c r="M13" i="7"/>
  <c r="N12" i="7"/>
  <c r="M12" i="7"/>
  <c r="N11" i="7"/>
  <c r="N8" i="7"/>
  <c r="M8" i="7"/>
  <c r="N7" i="7"/>
  <c r="E6" i="15" l="1"/>
  <c r="D100" i="8"/>
  <c r="C112" i="8"/>
  <c r="D112" i="8" s="1"/>
  <c r="D47" i="8"/>
  <c r="G6" i="15"/>
  <c r="D99" i="8"/>
  <c r="E6" i="14"/>
  <c r="D91" i="8"/>
  <c r="F6" i="15"/>
  <c r="F6" i="11" s="1"/>
  <c r="C24" i="8"/>
  <c r="D24" i="8" s="1"/>
  <c r="D15" i="8"/>
  <c r="E6" i="3"/>
  <c r="C79" i="8"/>
  <c r="C6" i="14"/>
  <c r="C28" i="8"/>
  <c r="D28" i="8" s="1"/>
  <c r="C23" i="8"/>
  <c r="D23" i="8" s="1"/>
  <c r="C52" i="8"/>
  <c r="D52" i="8" s="1"/>
  <c r="C18" i="8"/>
  <c r="D18" i="8" s="1"/>
  <c r="C19" i="8"/>
  <c r="D19" i="8" s="1"/>
  <c r="C20" i="8"/>
  <c r="D20" i="8" s="1"/>
  <c r="C16" i="8"/>
  <c r="D16" i="8" s="1"/>
  <c r="D6" i="14" l="1"/>
  <c r="G6" i="11" s="1"/>
  <c r="D79" i="8"/>
  <c r="H19" i="3"/>
  <c r="C6" i="11"/>
  <c r="C53" i="8"/>
  <c r="D53" i="8" s="1"/>
  <c r="C6" i="13"/>
  <c r="E6" i="11" s="1"/>
  <c r="E6" i="13"/>
  <c r="C27" i="8"/>
  <c r="C29" i="8" l="1"/>
  <c r="D29" i="8" s="1"/>
  <c r="D27" i="8"/>
  <c r="E6" i="12" l="1"/>
  <c r="C30" i="8"/>
  <c r="C6" i="12" l="1"/>
  <c r="D30" i="8"/>
</calcChain>
</file>

<file path=xl/sharedStrings.xml><?xml version="1.0" encoding="utf-8"?>
<sst xmlns="http://schemas.openxmlformats.org/spreadsheetml/2006/main" count="997" uniqueCount="468">
  <si>
    <t>E</t>
  </si>
  <si>
    <t>MWh</t>
  </si>
  <si>
    <t>Water</t>
  </si>
  <si>
    <t>m³</t>
  </si>
  <si>
    <t>tonnes</t>
  </si>
  <si>
    <t>Biodiversity</t>
  </si>
  <si>
    <t>kg</t>
  </si>
  <si>
    <t>Sl. No</t>
  </si>
  <si>
    <t>Renewable</t>
  </si>
  <si>
    <t>Non-Renewable</t>
  </si>
  <si>
    <t>Unit</t>
  </si>
  <si>
    <t>Grid / Supplier</t>
  </si>
  <si>
    <t>Kerosene</t>
  </si>
  <si>
    <t>Litres</t>
  </si>
  <si>
    <t>EPA/DEFRA 2024</t>
  </si>
  <si>
    <t>Diesel</t>
  </si>
  <si>
    <t>LPG</t>
  </si>
  <si>
    <t>Natural Gas</t>
  </si>
  <si>
    <t>Energy</t>
  </si>
  <si>
    <t>Electricity Consumed</t>
  </si>
  <si>
    <t>Fuels Used Inside The Facility</t>
  </si>
  <si>
    <t>Enter Manually</t>
  </si>
  <si>
    <t>GENERAL INFORMATION</t>
  </si>
  <si>
    <t>B</t>
  </si>
  <si>
    <t>CLIMATE CHANGE</t>
  </si>
  <si>
    <t>A.1</t>
  </si>
  <si>
    <t>B.1</t>
  </si>
  <si>
    <t>ABOUT THE COMPANY</t>
  </si>
  <si>
    <t>Company registration no</t>
  </si>
  <si>
    <t>Company Type</t>
  </si>
  <si>
    <t>Company Revenue (as per last annual report)</t>
  </si>
  <si>
    <t>Revenue Currency Code</t>
  </si>
  <si>
    <t>A.1.1</t>
  </si>
  <si>
    <t>A.1.2</t>
  </si>
  <si>
    <t>A.1.3</t>
  </si>
  <si>
    <t>A.1.4</t>
  </si>
  <si>
    <t>A.1.5</t>
  </si>
  <si>
    <t>A</t>
  </si>
  <si>
    <t>B.1.1</t>
  </si>
  <si>
    <t>B.1.2</t>
  </si>
  <si>
    <t>B.1.3</t>
  </si>
  <si>
    <t>B.1.4</t>
  </si>
  <si>
    <t>Total Renewable Electricity</t>
  </si>
  <si>
    <t>Total Non-Renewable Electricity</t>
  </si>
  <si>
    <t>Total Electricity Consumption</t>
  </si>
  <si>
    <t>US dollar</t>
  </si>
  <si>
    <t>B.1.5</t>
  </si>
  <si>
    <t>B.1.6</t>
  </si>
  <si>
    <t>B.1.7</t>
  </si>
  <si>
    <t>LLP</t>
  </si>
  <si>
    <t>B.2</t>
  </si>
  <si>
    <t>Green House Gas Emissions</t>
  </si>
  <si>
    <t>Energy Factor</t>
  </si>
  <si>
    <t>GHG Factor</t>
  </si>
  <si>
    <t>Scope 1</t>
  </si>
  <si>
    <t>NA</t>
  </si>
  <si>
    <t>Fuel used (on-site) in MWh</t>
  </si>
  <si>
    <t>tCO2e</t>
  </si>
  <si>
    <t>GHG emissions intensity (per $million of revenue):</t>
  </si>
  <si>
    <t>GHG Removals / Carbon credits retired:</t>
  </si>
  <si>
    <t>C</t>
  </si>
  <si>
    <t>Scope 3</t>
  </si>
  <si>
    <t>Carbon Credits</t>
  </si>
  <si>
    <t>Removals</t>
  </si>
  <si>
    <t xml:space="preserve">Total GHG emissions in tCO2e (Scope 1 + 2) </t>
  </si>
  <si>
    <t xml:space="preserve">Gross Scope 1 GHG emissions in tCO2e (Direct) </t>
  </si>
  <si>
    <t>Total energy use per $million of revenue</t>
  </si>
  <si>
    <t>Total energy consumption (in MWh)</t>
  </si>
  <si>
    <t>Percentage of renewable energy (on-site)</t>
  </si>
  <si>
    <t>B.2.1</t>
  </si>
  <si>
    <t>B.2.2</t>
  </si>
  <si>
    <t>B.2.3</t>
  </si>
  <si>
    <t>B.2.4</t>
  </si>
  <si>
    <t>B.2.5</t>
  </si>
  <si>
    <t>B.2.6</t>
  </si>
  <si>
    <t>B.3</t>
  </si>
  <si>
    <t>Municipal Water</t>
  </si>
  <si>
    <t>Wastewater</t>
  </si>
  <si>
    <t>Withdrawal</t>
  </si>
  <si>
    <t>Discharge</t>
  </si>
  <si>
    <t>State</t>
  </si>
  <si>
    <t>Liquid</t>
  </si>
  <si>
    <t>Gas</t>
  </si>
  <si>
    <t>WATER AND MARINE RESOURCES</t>
  </si>
  <si>
    <t>C.1</t>
  </si>
  <si>
    <t>Auto calculated</t>
  </si>
  <si>
    <t>RECYCLED</t>
  </si>
  <si>
    <t>FRESHWATER</t>
  </si>
  <si>
    <t>VOLUME FACTOR</t>
  </si>
  <si>
    <t>TOTAL VALUE</t>
  </si>
  <si>
    <t>Input Value 1 (Final)</t>
  </si>
  <si>
    <t>Input Value 2 (Final)</t>
  </si>
  <si>
    <t>Total Energy Consumed</t>
  </si>
  <si>
    <t>Total Renewable Energy Consumed (MWh)</t>
  </si>
  <si>
    <t>Total Non-Renewable Energy  Consumed (MWh)</t>
  </si>
  <si>
    <t>Renewable Energy</t>
  </si>
  <si>
    <t>Total Energy in MWh</t>
  </si>
  <si>
    <t>Non-Renewavle Energy</t>
  </si>
  <si>
    <t>B.</t>
  </si>
  <si>
    <t>Water withdrawls</t>
  </si>
  <si>
    <t>C.1.1</t>
  </si>
  <si>
    <t>C.1.2</t>
  </si>
  <si>
    <t>C.1.3</t>
  </si>
  <si>
    <t>C.1.4</t>
  </si>
  <si>
    <t>Category</t>
  </si>
  <si>
    <t>Type</t>
  </si>
  <si>
    <t>Air Emission</t>
  </si>
  <si>
    <t>Pollutant Type</t>
  </si>
  <si>
    <t>Total Pollutants</t>
  </si>
  <si>
    <t>Total Converted Value</t>
  </si>
  <si>
    <t>Total GHG Value (in tCO2e)</t>
  </si>
  <si>
    <t>Remarks</t>
  </si>
  <si>
    <t>Source2</t>
  </si>
  <si>
    <t>Pollutants generated</t>
  </si>
  <si>
    <t>Total Pollutants Generated</t>
  </si>
  <si>
    <t>Water Emission</t>
  </si>
  <si>
    <t>For e.g. Nitrates</t>
  </si>
  <si>
    <t>Gross Scope 2 GHG emissions in tCO2e (Location-based)</t>
  </si>
  <si>
    <t>Multiplier</t>
  </si>
  <si>
    <t>Multiplier = Energy Factor (MWh per Unit)</t>
  </si>
  <si>
    <t>No Multiplier applied</t>
  </si>
  <si>
    <t>Source is a type of pollutant. Change Multiplier  to 1000 if value added in tonnes, else use 1 if emissions value is reported in kg</t>
  </si>
  <si>
    <t>Negative value under GHG Factor is used to subtract carbon credits</t>
  </si>
  <si>
    <t>Pollution to Air, Water and Soil</t>
  </si>
  <si>
    <t>B.3.1</t>
  </si>
  <si>
    <t>B.3.2</t>
  </si>
  <si>
    <t>B.3.3</t>
  </si>
  <si>
    <t>B.3.4</t>
  </si>
  <si>
    <t>Particulate Matter (PM10 / PM2.5)  in kg</t>
  </si>
  <si>
    <t>Air pollutants (SOx)  in kg</t>
  </si>
  <si>
    <t>Air pollutant Nitrogen Oxides (NOx) in kg</t>
  </si>
  <si>
    <t>Air pollutant Sulhur Oxides (SOx) in kg</t>
  </si>
  <si>
    <t>Particles</t>
  </si>
  <si>
    <t>Purchased Goods</t>
  </si>
  <si>
    <t>USD</t>
  </si>
  <si>
    <t>Upstream Transport</t>
  </si>
  <si>
    <t>On-Site Solar</t>
  </si>
  <si>
    <t>Upstream emissions from sea transport</t>
  </si>
  <si>
    <t>Upstream emissions from air transport</t>
  </si>
  <si>
    <t>Upstream emissions from road transport</t>
  </si>
  <si>
    <t>GHG</t>
  </si>
  <si>
    <t>GHG Factor = EEIO emission factor forAir (long haul) in kg CO2e/$</t>
  </si>
  <si>
    <t>GHG Factor = EEIO emission factor for Truck (rigid, &gt;3.5-7.5t) in kg CO2e/$</t>
  </si>
  <si>
    <t>GHG Factor= EEIO emission factor for Container 2,000–2,999 TEU in kg CO2e/$</t>
  </si>
  <si>
    <t>GHG Factor = 1.35 (CAD value of 1$US)* 1.469337284 kgCO2e/cad (OpenIO-Canada v2.9 — Canadian EEIO — for passengers cars in Canadial Dollar. Final value in kgCO2e/$</t>
  </si>
  <si>
    <t>GHG Factor= EEIO emission factor for air travel in kg CO2e/$</t>
  </si>
  <si>
    <t>Business Travel emissions from Rail  Transport</t>
  </si>
  <si>
    <t>Business Travel emissions from Road Transport</t>
  </si>
  <si>
    <t>Business Travel emissions from Flights</t>
  </si>
  <si>
    <t>GHG Factor = 1.35 (CAD value of 1$US)* 0.5488542212 kgCO2e/cad (OpenIO-Canada v2.9 — Canadian EEIO — for rail travel in Canadial Dollar. Final value in kgCO2e/$</t>
  </si>
  <si>
    <t>Electricity (Grid)</t>
  </si>
  <si>
    <t>On-Site Wind Electricity</t>
  </si>
  <si>
    <t>Business Travels</t>
  </si>
  <si>
    <t>Electric/Hybrid Transport</t>
  </si>
  <si>
    <t>Fossil-fuel based transport</t>
  </si>
  <si>
    <t>Total Input Value</t>
  </si>
  <si>
    <t>Hyrbid/Electric GHG emission factor (kgCo2e/$)</t>
  </si>
  <si>
    <t>TOTAL GHG  (EV + Hybrid + Fossil) in tCO2e/$</t>
  </si>
  <si>
    <t>Scope 2: Location</t>
  </si>
  <si>
    <t>Heating</t>
  </si>
  <si>
    <t>m3</t>
  </si>
  <si>
    <t>Scope 2: Market</t>
  </si>
  <si>
    <t>Cooling</t>
  </si>
  <si>
    <t>B.4</t>
  </si>
  <si>
    <t>This section is updated manually</t>
  </si>
  <si>
    <t>% / Year</t>
  </si>
  <si>
    <t>Currency</t>
  </si>
  <si>
    <t>Climate Goal</t>
  </si>
  <si>
    <t>GHG reduction target and time frame (per cent per year)</t>
  </si>
  <si>
    <t>Financial effects from climate risks (in $US)</t>
  </si>
  <si>
    <t>Investment allocated to transition plan (in $US)</t>
  </si>
  <si>
    <t>Climate Goals and Risks</t>
  </si>
  <si>
    <t>Sensitive Area</t>
  </si>
  <si>
    <t>Direct Fugitive Emissions</t>
  </si>
  <si>
    <t>Particulate Matter (PM10/PM2.5) in kg</t>
  </si>
  <si>
    <t xml:space="preserve">Use 0.001 as multiplier to converts litres to m3 </t>
  </si>
  <si>
    <t>TOTAL RECYCLED (in litres)</t>
  </si>
  <si>
    <t>TOTAL FRESHWATER (in litres)</t>
  </si>
  <si>
    <t>Water intensity (litres consumed per $million of revenue)</t>
  </si>
  <si>
    <t>Water withdrawn from high water-stress areas</t>
  </si>
  <si>
    <t>Watewater to oceans</t>
  </si>
  <si>
    <t>Groundwater from non-high-water stress areas</t>
  </si>
  <si>
    <t>C.1.5</t>
  </si>
  <si>
    <t>C.1.6</t>
  </si>
  <si>
    <t>C.1.7</t>
  </si>
  <si>
    <t>Water discharged to oceans is part of total water discharged</t>
  </si>
  <si>
    <t>Total water withdrawal from all sites (in cubic metres)</t>
  </si>
  <si>
    <t>Water withdrawn from high water-stress areas (in cubic metres)</t>
  </si>
  <si>
    <t>Total water discharged (in cubic metres)</t>
  </si>
  <si>
    <t>Does not include recycled water</t>
  </si>
  <si>
    <t>Is part of total water withdrawal</t>
  </si>
  <si>
    <t>Total water discharged after recycling</t>
  </si>
  <si>
    <t>Total recycled and reused water</t>
  </si>
  <si>
    <t>Total Withdrawal-Total Discharge</t>
  </si>
  <si>
    <t>Net Consumption/Total Revenue</t>
  </si>
  <si>
    <t>Targets and risks</t>
  </si>
  <si>
    <t>In US dollars</t>
  </si>
  <si>
    <t>C.2</t>
  </si>
  <si>
    <t>C.2.1</t>
  </si>
  <si>
    <t>Tonnes</t>
  </si>
  <si>
    <t>Resources</t>
  </si>
  <si>
    <t>Marine resources extracted and utilised (gravels, deep-sea minerals, seafood, etc)</t>
  </si>
  <si>
    <t>Resource Use</t>
  </si>
  <si>
    <t>Water Resources</t>
  </si>
  <si>
    <t>Marine Resources</t>
  </si>
  <si>
    <t>TOTAL QUANTITY</t>
  </si>
  <si>
    <t>QUANTITY</t>
  </si>
  <si>
    <t>CONVERSION FACTOR</t>
  </si>
  <si>
    <t>TOTAL GHG</t>
  </si>
  <si>
    <t>GHG FACTOR</t>
  </si>
  <si>
    <t>INPUT VALUE 2</t>
  </si>
  <si>
    <t>INPUT VALUE 1</t>
  </si>
  <si>
    <t>UNIT</t>
  </si>
  <si>
    <t>TYPE</t>
  </si>
  <si>
    <t>CATEGORY</t>
  </si>
  <si>
    <t>SOURCE</t>
  </si>
  <si>
    <t>TOTAL INPUTS</t>
  </si>
  <si>
    <t>Water withdrawal reduction target and time frame (per cent per year)</t>
  </si>
  <si>
    <t>Water discharge reduction target and time frame (per cent per year)</t>
  </si>
  <si>
    <t>INVESTMENT</t>
  </si>
  <si>
    <t>RISK</t>
  </si>
  <si>
    <t>Water and Marine Resources Targets</t>
  </si>
  <si>
    <t>Non-hazardous waste</t>
  </si>
  <si>
    <t>Hazardous waste</t>
  </si>
  <si>
    <t>C.3</t>
  </si>
  <si>
    <t>C.3.1</t>
  </si>
  <si>
    <t>C.3.2</t>
  </si>
  <si>
    <t>C.3.3</t>
  </si>
  <si>
    <t>Hazardous Waste</t>
  </si>
  <si>
    <t>Non-Hazardous Waste</t>
  </si>
  <si>
    <t>D</t>
  </si>
  <si>
    <t>D.1</t>
  </si>
  <si>
    <t>Gross Indirect Scope 3 GHG emissions in tCO2e (Business Travels)</t>
  </si>
  <si>
    <t>Gross Indirect Scope 3 GHG emissions in tCO2e (Upstream Transport)</t>
  </si>
  <si>
    <t xml:space="preserve">Total GHG emissions in tCO2e (Scope 3) </t>
  </si>
  <si>
    <t xml:space="preserve">Total GHG emssions in tCO2e (Scope 1+Scope 2+ Scope3) </t>
  </si>
  <si>
    <t>B.2.7</t>
  </si>
  <si>
    <t>B.2.8</t>
  </si>
  <si>
    <t>B.2.9</t>
  </si>
  <si>
    <t>Total water/wastewater recycled and reused (in cubic metres)</t>
  </si>
  <si>
    <t>Unprocessed textile fibres</t>
  </si>
  <si>
    <t>Dyestuffs and pigments containing hazardous substances</t>
  </si>
  <si>
    <t>Wastes from processed textile fibres</t>
  </si>
  <si>
    <t>Unpsecificied non-hazardous waste</t>
  </si>
  <si>
    <t>tonne</t>
  </si>
  <si>
    <t>Paper and Cardboard</t>
  </si>
  <si>
    <t>Solvents used in finishing (Hazardous)</t>
  </si>
  <si>
    <t>Solvents used in finishing (non-hazardous)</t>
  </si>
  <si>
    <t>TOTAL GHG EMISSION</t>
  </si>
  <si>
    <t>TOTAL PROCESSED QUANTITY</t>
  </si>
  <si>
    <t>Landfilling</t>
  </si>
  <si>
    <t>Incineration</t>
  </si>
  <si>
    <t>Reused</t>
  </si>
  <si>
    <t>Recycled</t>
  </si>
  <si>
    <t>To convert value into tonnes</t>
  </si>
  <si>
    <t>D.1.1</t>
  </si>
  <si>
    <t>D.3.3</t>
  </si>
  <si>
    <t>D.1.2</t>
  </si>
  <si>
    <t>D.1.3</t>
  </si>
  <si>
    <t>D.1.4</t>
  </si>
  <si>
    <t>D.1.5</t>
  </si>
  <si>
    <t>D.1.6</t>
  </si>
  <si>
    <t>D.2</t>
  </si>
  <si>
    <t>D.2.1</t>
  </si>
  <si>
    <t>D.2.2</t>
  </si>
  <si>
    <t>D.2.3</t>
  </si>
  <si>
    <t>D.2.4</t>
  </si>
  <si>
    <t>D.2.5</t>
  </si>
  <si>
    <t>D.2.6</t>
  </si>
  <si>
    <t>D.2.7</t>
  </si>
  <si>
    <t>CIRCULAR ECONOMY AND WASTE MANAGEMENT</t>
  </si>
  <si>
    <t>BIODIVERSITY</t>
  </si>
  <si>
    <t>Circular Economy</t>
  </si>
  <si>
    <t>Enter as YES or No</t>
  </si>
  <si>
    <t>YES</t>
  </si>
  <si>
    <t>Describe how the organisation applies circular economy principles</t>
  </si>
  <si>
    <t>Undertaking applies circular economy principles</t>
  </si>
  <si>
    <t>Detailed explanation</t>
  </si>
  <si>
    <t>E.1</t>
  </si>
  <si>
    <t>Packaging</t>
  </si>
  <si>
    <t>Wrapping, trays, containers</t>
  </si>
  <si>
    <t>Material</t>
  </si>
  <si>
    <t>DISPOSED</t>
  </si>
  <si>
    <t>RECYCLED / REUSED</t>
  </si>
  <si>
    <t>Aluminum used in packaging</t>
  </si>
  <si>
    <t>Paper and Cardboard used in packaging</t>
  </si>
  <si>
    <t>D.3</t>
  </si>
  <si>
    <t>Materials Used</t>
  </si>
  <si>
    <t>D.3.1</t>
  </si>
  <si>
    <t>Total non-hazardous waste generated (in tonnes)</t>
  </si>
  <si>
    <t>Resource Use, Circular Economy and Waste Management</t>
  </si>
  <si>
    <t>VIRGIN MATERIALS</t>
  </si>
  <si>
    <t>D.3.2</t>
  </si>
  <si>
    <t>Revenue currency is used in dollars due to availability of most emission factors in dollar values</t>
  </si>
  <si>
    <t>Green House Gases</t>
  </si>
  <si>
    <t>Pollution of Air, Water and Soil</t>
  </si>
  <si>
    <t>Climate Strategy and Goals</t>
  </si>
  <si>
    <t>GHG GOALS</t>
  </si>
  <si>
    <t>Land Use</t>
  </si>
  <si>
    <t>m2</t>
  </si>
  <si>
    <t>Total Sealed Area</t>
  </si>
  <si>
    <t>Manufacturing Plant</t>
  </si>
  <si>
    <t>Total nature-oriented area on-site</t>
  </si>
  <si>
    <t>Total nature-oriented area off-site</t>
  </si>
  <si>
    <t>Enter the values manually</t>
  </si>
  <si>
    <t>Location of Manufacturing Plant</t>
  </si>
  <si>
    <t>Mumbai</t>
  </si>
  <si>
    <t>A.1.6</t>
  </si>
  <si>
    <t>TOTAL CONVERTED AREA IN SQ. METRES</t>
  </si>
  <si>
    <t>AREA</t>
  </si>
  <si>
    <t>Location/size of facilities affecting sensitive areas</t>
  </si>
  <si>
    <t>Total land area owned/leased</t>
  </si>
  <si>
    <t>Location/size of artificial / sealed area</t>
  </si>
  <si>
    <t>Sealed</t>
  </si>
  <si>
    <t>E.1.1</t>
  </si>
  <si>
    <t>E.1.2</t>
  </si>
  <si>
    <t>E.1.3</t>
  </si>
  <si>
    <t>Single-Use</t>
  </si>
  <si>
    <t>Percentage of single-use products in all packaging materials (% total weight)</t>
  </si>
  <si>
    <t>Plastic embellishments used in manufacturing</t>
  </si>
  <si>
    <t>Fabric used in manufacturing</t>
  </si>
  <si>
    <t>Manufacturing</t>
  </si>
  <si>
    <t>Virgin</t>
  </si>
  <si>
    <t>STATE</t>
  </si>
  <si>
    <t>Total annual mass-flow of material used in packaging (mass in tonnes)</t>
  </si>
  <si>
    <t>Total annual mass-flow of relevant materials used in manufacturing (tonnes)</t>
  </si>
  <si>
    <t>Total annual mass-flow of relevant materials used (in tonnes)</t>
  </si>
  <si>
    <t>D.3.4</t>
  </si>
  <si>
    <t>D.3.5</t>
  </si>
  <si>
    <t>D.3.6</t>
  </si>
  <si>
    <t>SECTION IDs</t>
  </si>
  <si>
    <t>Metric Names</t>
  </si>
  <si>
    <t>Values</t>
  </si>
  <si>
    <t>Remarks (if any)</t>
  </si>
  <si>
    <t>⚡ Energy</t>
  </si>
  <si>
    <t>🌱Carbon Footprint</t>
  </si>
  <si>
    <t>💧Water</t>
  </si>
  <si>
    <t xml:space="preserve">🌏 Biodiversity </t>
  </si>
  <si>
    <t>🗑️ Waste &amp; Materials</t>
  </si>
  <si>
    <t>REVENUE BASELINE</t>
  </si>
  <si>
    <t>TOTAL ENERGY (MWh)</t>
  </si>
  <si>
    <t>Increase Renewable Electricity by 2027</t>
  </si>
  <si>
    <t>∷</t>
  </si>
  <si>
    <t>Refrigerant (R-32)</t>
  </si>
  <si>
    <t>GHG Factor (t CO2e per Unit)</t>
  </si>
  <si>
    <t>GHG Factor kgCo2e</t>
  </si>
  <si>
    <t>Fossil fuel GHG emission factor (kgCo2e/unit)</t>
  </si>
  <si>
    <t>EMISSIONS INTENSITY PER $MN OF REVENUE</t>
  </si>
  <si>
    <t>GHG REDUCTION TARGET</t>
  </si>
  <si>
    <t>INVESTMENT TARGET</t>
  </si>
  <si>
    <t>PM10/PM2.5</t>
  </si>
  <si>
    <t>NOx</t>
  </si>
  <si>
    <t>SOx</t>
  </si>
  <si>
    <t>Emissions to water in kg (for e.g. Nitrates)</t>
  </si>
  <si>
    <r>
      <t>TOTAL GHG IN tCO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e</t>
    </r>
  </si>
  <si>
    <t>WITHDRAWAL TARGET</t>
  </si>
  <si>
    <t>DISCHARGE TARGET</t>
  </si>
  <si>
    <t>cubic metres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</si>
  <si>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</si>
  <si>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RECYCLE RATIO</t>
  </si>
  <si>
    <t>TOTAL WATER CONSUMPTION</t>
  </si>
  <si>
    <t>$US</t>
  </si>
  <si>
    <t>Anticipated effect from water &amp; marine resources</t>
  </si>
  <si>
    <t>Water discharged to oceans (in cubic metres)</t>
  </si>
  <si>
    <t>Total net water consumption (in cubic meters)</t>
  </si>
  <si>
    <t>RENEWABLE TARGET</t>
  </si>
  <si>
    <t>TARGET ACHIEVED</t>
  </si>
  <si>
    <t>SINGLE-USE MATERIALS</t>
  </si>
  <si>
    <t>NON-HAZARDOUS WASTE</t>
  </si>
  <si>
    <t>HAZARDOUS WASTE</t>
  </si>
  <si>
    <t>Metric Tonnes</t>
  </si>
  <si>
    <t>MT</t>
  </si>
  <si>
    <t xml:space="preserve">UNIT </t>
  </si>
  <si>
    <t>MATERIAL USED</t>
  </si>
  <si>
    <t>Textile Fabric</t>
  </si>
  <si>
    <t>D.3.7</t>
  </si>
  <si>
    <t>Waste</t>
  </si>
  <si>
    <t>TOTAL RECYCLED QUANTITY</t>
  </si>
  <si>
    <t>TOTAL VIRGIN QUANTITY</t>
  </si>
  <si>
    <t>GHG MULTIPLIER</t>
  </si>
  <si>
    <t>VOLUME FACTOR (1= TONNES)</t>
  </si>
  <si>
    <t>TOTAL WASTE DISPOSED (in tonnes)</t>
  </si>
  <si>
    <t>TOTAL WASTE RECYCLED (in tonnes)</t>
  </si>
  <si>
    <t>TOTAL WASTE PROCESSED (in Tonnes)</t>
  </si>
  <si>
    <t>Recycled materials reused in manufacturing  (mass in tonnes)</t>
  </si>
  <si>
    <t>VIRGIN+RECYCLED</t>
  </si>
  <si>
    <t>Single-use materials used in packaging (mass in tonnes)</t>
  </si>
  <si>
    <t>Non-hazardous waste reused (in tonnes)</t>
  </si>
  <si>
    <t>Non-hazardous waste recycled (in tonnes)</t>
  </si>
  <si>
    <t>Non-hazardous waste disposed by incineration (in tonnes)</t>
  </si>
  <si>
    <t>Non-hazardous waste disposed by landfilling (in tonnes)</t>
  </si>
  <si>
    <t>Non-haz waste disposed by other methods (in tonnes)</t>
  </si>
  <si>
    <t>Recycled material reused in packaging (mass in tonnes)</t>
  </si>
  <si>
    <t>Total Recycled material used (mass in tonnes)</t>
  </si>
  <si>
    <t>D.3.8</t>
  </si>
  <si>
    <t>Total virgin material used (mass in tonnes)</t>
  </si>
  <si>
    <t>RECYCLED MATERIAL</t>
  </si>
  <si>
    <t>Sludges from on-site treatment (hazardous)</t>
  </si>
  <si>
    <t>Sludges from on-site treatment (non-hazardous)</t>
  </si>
  <si>
    <t>PPFAS in effluents (in tonnes)</t>
  </si>
  <si>
    <t>Hazardous waste incinerated (in tonnes)</t>
  </si>
  <si>
    <t>Hazardous waste disposed at landfill (in tonnes)</t>
  </si>
  <si>
    <t>Hazardous waste disposed by other methods (in tonnes)</t>
  </si>
  <si>
    <t>Hazardous waste recycled (in tonnes)</t>
  </si>
  <si>
    <t>Hazardous waste recovered otherwise (in tonnes)</t>
  </si>
  <si>
    <t>Total hazardous waste generated  (in tonnes)</t>
  </si>
  <si>
    <t>PFAS (SVHC) in effluents</t>
  </si>
  <si>
    <t>Type of Waste</t>
  </si>
  <si>
    <t>Composite materials</t>
  </si>
  <si>
    <t>Organic matter from natural products</t>
  </si>
  <si>
    <t>Solvents used in finishing (hazardous)</t>
  </si>
  <si>
    <t xml:space="preserve">Non-hazardous dyestuffs and pigments </t>
  </si>
  <si>
    <t>Business travel emissions from Flights</t>
  </si>
  <si>
    <t>Aluminum waste from packaging</t>
  </si>
  <si>
    <t>RECYCLED VS DISPOSED RATIO</t>
  </si>
  <si>
    <t>ROUNDED FIGURE</t>
  </si>
  <si>
    <t>ACTUAL RATIO</t>
  </si>
  <si>
    <t>RECYCLED WASTE VS DISPOSED WASTE RATIO</t>
  </si>
  <si>
    <t>LOCATION OF MANUFACTURING PLANT</t>
  </si>
  <si>
    <t>SIZE OF FACILITY</t>
  </si>
  <si>
    <t>square meteres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</si>
  <si>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</si>
  <si>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LAND IN SENSITIVE AREA</t>
  </si>
  <si>
    <t>Any Species Under Global Extinction Risk Affected</t>
  </si>
  <si>
    <t>Number</t>
  </si>
  <si>
    <t>Priority Raw Materials Sourced From Deforestation Free Areas</t>
  </si>
  <si>
    <t>Sourcing</t>
  </si>
  <si>
    <t>Groundwater From Non-high-water Stress Areas Last Financial Year</t>
  </si>
  <si>
    <t>Water Withdrawn From High Water-stress Areas Last Financial Year</t>
  </si>
  <si>
    <t>Municipal Water Usage Last Financial Year</t>
  </si>
  <si>
    <t>Water Usage</t>
  </si>
  <si>
    <t>Sea Water Usage Last Year</t>
  </si>
  <si>
    <t>Sea Water Used</t>
  </si>
  <si>
    <t>SEALED/ARTIFICIAL AREA</t>
  </si>
  <si>
    <t>E.2</t>
  </si>
  <si>
    <t>WATER USAGE</t>
  </si>
  <si>
    <t>TOTAL WATER USAGE</t>
  </si>
  <si>
    <t>E.2.1</t>
  </si>
  <si>
    <t>E.1.4</t>
  </si>
  <si>
    <t>E.2.2</t>
  </si>
  <si>
    <t>Does the Organisation Source Priority Raw Materials From Deforestation Free Areas?</t>
  </si>
  <si>
    <t>Total Water Withdrawl Last Financial Year</t>
  </si>
  <si>
    <t>Change In Water Usage Since Last Financial Year</t>
  </si>
  <si>
    <t>Change In Freshwater Usage Since Last Financial Year</t>
  </si>
  <si>
    <t>Groundwater Withdrawal From High Water-stress Areas</t>
  </si>
  <si>
    <t>Groundwater Withdrawal From Non-high-water Stress Areas</t>
  </si>
  <si>
    <t>Municipal Water Used</t>
  </si>
  <si>
    <t>Any Incidents of Deforestation?</t>
  </si>
  <si>
    <t>NO</t>
  </si>
  <si>
    <t>Any Species Under Global Extinction Risk Affected?</t>
  </si>
  <si>
    <t xml:space="preserve">POLICY CHECK </t>
  </si>
  <si>
    <t>YES/NO</t>
  </si>
  <si>
    <t>POLICY CHECK</t>
  </si>
  <si>
    <t>ENERGY USE MWh/MN$</t>
  </si>
  <si>
    <t>RECYCLED/DISPOSED</t>
  </si>
  <si>
    <t>WATER CONSUMPTION</t>
  </si>
  <si>
    <t>Validation</t>
  </si>
  <si>
    <t>ERROR</t>
  </si>
  <si>
    <t>OK</t>
  </si>
  <si>
    <t>DUMMY_NO</t>
  </si>
  <si>
    <t xml:space="preserve">For example, items likegrease, wax, etc; </t>
  </si>
  <si>
    <t>Includes items like impregnated textile, elastomer, etc;</t>
  </si>
  <si>
    <t>TERI</t>
  </si>
  <si>
    <t>DEFRA 2024 / NSE</t>
  </si>
  <si>
    <t>Item</t>
  </si>
  <si>
    <t>Name of the reporting entity</t>
  </si>
  <si>
    <t>TEXTILE EXPORTER ENVIRONMENTAL DASHBOARD</t>
  </si>
  <si>
    <t>Textile Exporter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</si>
</sst>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[$$-409]#,##0.00"/>
    <numFmt numFmtId="166" formatCode="0.0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mbria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sz val="10"/>
      <color theme="9" tint="-0.499984740745262"/>
      <name val="Arial"/>
      <family val="2"/>
    </font>
    <font>
      <i/>
      <sz val="10"/>
      <color rgb="FFFF0000"/>
      <name val="Arial"/>
      <family val="2"/>
    </font>
    <font>
      <u/>
      <sz val="10"/>
      <color theme="11"/>
      <name val="Arial"/>
      <family val="2"/>
    </font>
    <font>
      <b/>
      <sz val="10"/>
      <color theme="0"/>
      <name val="Arial"/>
      <family val="2"/>
    </font>
    <font>
      <i/>
      <sz val="12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2" tint="-0.749992370372631"/>
      <name val="Arial"/>
      <family val="2"/>
    </font>
    <font>
      <sz val="12"/>
      <color theme="2" tint="-0.749992370372631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EFEAE2"/>
      <name val="Arial"/>
      <family val="2"/>
    </font>
    <font>
      <b/>
      <sz val="18"/>
      <color theme="1"/>
      <name val="Arial"/>
      <family val="2"/>
    </font>
    <font>
      <b/>
      <sz val="12"/>
      <color rgb="FFEFEAE2"/>
      <name val="Arial"/>
      <family val="2"/>
    </font>
    <font>
      <sz val="12"/>
      <color rgb="FF8B6F4E"/>
      <name val="Arial"/>
      <family val="2"/>
    </font>
    <font>
      <b/>
      <sz val="18"/>
      <color rgb="FF8B6F4E"/>
      <name val="Arial"/>
      <family val="2"/>
    </font>
    <font>
      <vertAlign val="subscript"/>
      <sz val="10"/>
      <color theme="1"/>
      <name val="Arial"/>
      <family val="2"/>
    </font>
    <font>
      <sz val="11"/>
      <color rgb="FF8B6F4E"/>
      <name val="Arial"/>
      <family val="2"/>
    </font>
    <font>
      <sz val="11"/>
      <color rgb="FF8B6F4E"/>
      <name val="Calibri"/>
      <family val="2"/>
      <scheme val="minor"/>
    </font>
    <font>
      <b/>
      <sz val="20"/>
      <color rgb="FF8B6F4E"/>
      <name val="Arial"/>
      <family val="2"/>
    </font>
    <font>
      <b/>
      <sz val="20"/>
      <color theme="1"/>
      <name val="Calibri"/>
      <family val="2"/>
      <scheme val="minor"/>
    </font>
    <font>
      <sz val="10"/>
      <color rgb="FF8B6F4E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CEC9C5"/>
      <name val="Calibri"/>
      <family val="2"/>
      <scheme val="minor"/>
    </font>
    <font>
      <sz val="10"/>
      <color rgb="FFCEC9C5"/>
      <name val="Calibri"/>
      <family val="2"/>
      <scheme val="minor"/>
    </font>
    <font>
      <sz val="11"/>
      <color rgb="FFCEC9C5"/>
      <name val="Calibri"/>
      <family val="2"/>
      <scheme val="minor"/>
    </font>
    <font>
      <b/>
      <sz val="14"/>
      <color theme="9" tint="-0.499984740745262"/>
      <name val="Arial"/>
      <family val="2"/>
    </font>
    <font>
      <sz val="11"/>
      <color theme="9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1"/>
      <color rgb="FFEFEAE2"/>
      <name val="Calibri"/>
      <family val="2"/>
      <scheme val="minor"/>
    </font>
    <font>
      <b/>
      <sz val="12"/>
      <color rgb="FF2A1F14"/>
      <name val="Arial"/>
      <family val="2"/>
    </font>
    <font>
      <sz val="12"/>
      <color rgb="FF2A1F14"/>
      <name val="Arial"/>
      <family val="2"/>
    </font>
    <font>
      <i/>
      <sz val="12"/>
      <color rgb="FF2A1F14"/>
      <name val="Arial"/>
      <family val="2"/>
    </font>
    <font>
      <b/>
      <sz val="16"/>
      <color rgb="FF2A1F14"/>
      <name val="Arial"/>
      <family val="2"/>
    </font>
    <font>
      <b/>
      <i/>
      <sz val="16"/>
      <color rgb="FF2A1F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EFEAE2"/>
        <bgColor indexed="64"/>
      </patternFill>
    </fill>
    <fill>
      <patternFill patternType="solid">
        <fgColor rgb="FF8B6F4E"/>
        <bgColor indexed="64"/>
      </patternFill>
    </fill>
    <fill>
      <patternFill patternType="solid">
        <fgColor rgb="FFCEC9C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CEC9C5"/>
      </left>
      <right style="medium">
        <color rgb="FFCEC9C5"/>
      </right>
      <top style="medium">
        <color rgb="FFCEC9C5"/>
      </top>
      <bottom style="medium">
        <color rgb="FFCEC9C5"/>
      </bottom>
      <diagonal/>
    </border>
    <border>
      <left/>
      <right style="thin">
        <color rgb="FFCEC9C5"/>
      </right>
      <top style="medium">
        <color rgb="FFCEC9C5"/>
      </top>
      <bottom style="medium">
        <color rgb="FFCEC9C5"/>
      </bottom>
      <diagonal/>
    </border>
    <border>
      <left style="thin">
        <color rgb="FFCEC9C5"/>
      </left>
      <right style="thin">
        <color rgb="FFCEC9C5"/>
      </right>
      <top style="medium">
        <color rgb="FFCEC9C5"/>
      </top>
      <bottom style="medium">
        <color rgb="FFCEC9C5"/>
      </bottom>
      <diagonal/>
    </border>
    <border>
      <left style="medium">
        <color rgb="FFCEC9C5"/>
      </left>
      <right/>
      <top style="medium">
        <color rgb="FFCEC9C5"/>
      </top>
      <bottom/>
      <diagonal/>
    </border>
    <border>
      <left/>
      <right/>
      <top style="medium">
        <color rgb="FFCEC9C5"/>
      </top>
      <bottom/>
      <diagonal/>
    </border>
    <border>
      <left/>
      <right style="medium">
        <color rgb="FFCEC9C5"/>
      </right>
      <top style="medium">
        <color rgb="FFCEC9C5"/>
      </top>
      <bottom/>
      <diagonal/>
    </border>
    <border>
      <left style="medium">
        <color rgb="FFCEC9C5"/>
      </left>
      <right/>
      <top/>
      <bottom/>
      <diagonal/>
    </border>
    <border>
      <left/>
      <right style="medium">
        <color rgb="FFCEC9C5"/>
      </right>
      <top/>
      <bottom/>
      <diagonal/>
    </border>
    <border>
      <left style="medium">
        <color rgb="FFCEC9C5"/>
      </left>
      <right/>
      <top/>
      <bottom style="medium">
        <color rgb="FFCEC9C5"/>
      </bottom>
      <diagonal/>
    </border>
    <border>
      <left/>
      <right/>
      <top/>
      <bottom style="medium">
        <color rgb="FFCEC9C5"/>
      </bottom>
      <diagonal/>
    </border>
    <border>
      <left/>
      <right style="medium">
        <color rgb="FFCEC9C5"/>
      </right>
      <top/>
      <bottom style="medium">
        <color rgb="FFCEC9C5"/>
      </bottom>
      <diagonal/>
    </border>
    <border>
      <left style="medium">
        <color rgb="FFCEC9C5"/>
      </left>
      <right/>
      <top style="medium">
        <color rgb="FFCEC9C5"/>
      </top>
      <bottom style="medium">
        <color rgb="FFCEC9C5"/>
      </bottom>
      <diagonal/>
    </border>
    <border>
      <left/>
      <right style="medium">
        <color rgb="FFCEC9C5"/>
      </right>
      <top style="medium">
        <color rgb="FFCEC9C5"/>
      </top>
      <bottom style="medium">
        <color rgb="FFCEC9C5"/>
      </bottom>
      <diagonal/>
    </border>
    <border>
      <left style="thin">
        <color rgb="FFCEC9C5"/>
      </left>
      <right/>
      <top style="medium">
        <color rgb="FFCEC9C5"/>
      </top>
      <bottom style="medium">
        <color rgb="FFCEC9C5"/>
      </bottom>
      <diagonal/>
    </border>
    <border>
      <left/>
      <right/>
      <top style="medium">
        <color rgb="FFCEC9C5"/>
      </top>
      <bottom style="medium">
        <color rgb="FFCEC9C5"/>
      </bottom>
      <diagonal/>
    </border>
    <border>
      <left/>
      <right style="thin">
        <color rgb="FFCEC9C5"/>
      </right>
      <top/>
      <bottom/>
      <diagonal/>
    </border>
    <border>
      <left/>
      <right style="thin">
        <color rgb="FFCEC9C5"/>
      </right>
      <top/>
      <bottom style="medium">
        <color rgb="FFCEC9C5"/>
      </bottom>
      <diagonal/>
    </border>
    <border>
      <left style="thin">
        <color rgb="FFCEC9C5"/>
      </left>
      <right/>
      <top/>
      <bottom/>
      <diagonal/>
    </border>
    <border>
      <left style="thin">
        <color rgb="FFEFEAE2"/>
      </left>
      <right/>
      <top style="thin">
        <color rgb="FFEFEAE2"/>
      </top>
      <bottom/>
      <diagonal/>
    </border>
    <border>
      <left style="thin">
        <color rgb="FFEFEAE2"/>
      </left>
      <right/>
      <top/>
      <bottom/>
      <diagonal/>
    </border>
    <border>
      <left style="thin">
        <color rgb="FFEFEAE2"/>
      </left>
      <right/>
      <top/>
      <bottom style="thin">
        <color rgb="FFEFEAE2"/>
      </bottom>
      <diagonal/>
    </border>
    <border>
      <left/>
      <right/>
      <top style="medium">
        <color rgb="FFCEC9C5"/>
      </top>
      <bottom style="thin">
        <color rgb="FFEFEAE2"/>
      </bottom>
      <diagonal/>
    </border>
    <border>
      <left style="thin">
        <color rgb="FFEFEAE2"/>
      </left>
      <right style="medium">
        <color rgb="FFCEC9C5"/>
      </right>
      <top style="thin">
        <color rgb="FFEFEAE2"/>
      </top>
      <bottom/>
      <diagonal/>
    </border>
    <border>
      <left style="thin">
        <color rgb="FFEFEAE2"/>
      </left>
      <right style="medium">
        <color rgb="FFCEC9C5"/>
      </right>
      <top/>
      <bottom/>
      <diagonal/>
    </border>
    <border>
      <left style="thin">
        <color rgb="FFEFEAE2"/>
      </left>
      <right style="medium">
        <color rgb="FFCEC9C5"/>
      </right>
      <top/>
      <bottom style="thin">
        <color rgb="FFEFEAE2"/>
      </bottom>
      <diagonal/>
    </border>
    <border>
      <left/>
      <right/>
      <top/>
      <bottom style="thin">
        <color rgb="FFEFEAE2"/>
      </bottom>
      <diagonal/>
    </border>
    <border>
      <left/>
      <right style="medium">
        <color rgb="FFCEC9C5"/>
      </right>
      <top/>
      <bottom style="thin">
        <color rgb="FFEFEAE2"/>
      </bottom>
      <diagonal/>
    </border>
    <border>
      <left style="medium">
        <color rgb="FFCEC9C5"/>
      </left>
      <right style="medium">
        <color rgb="FFCEC9C5"/>
      </right>
      <top/>
      <bottom/>
      <diagonal/>
    </border>
    <border>
      <left style="thin">
        <color rgb="FF2A1F14"/>
      </left>
      <right style="thin">
        <color rgb="FF2A1F14"/>
      </right>
      <top style="thin">
        <color rgb="FF2A1F14"/>
      </top>
      <bottom style="thin">
        <color rgb="FF2A1F14"/>
      </bottom>
      <diagonal/>
    </border>
  </borders>
  <cellStyleXfs count="52">
    <xf numFmtId="0" fontId="0" fillId="0" borderId="0"/>
    <xf numFmtId="2" fontId="1" fillId="2" borderId="1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3" applyNumberFormat="0" applyAlignment="0" applyProtection="0"/>
    <xf numFmtId="0" fontId="10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0" borderId="0"/>
    <xf numFmtId="0" fontId="14" fillId="32" borderId="5" applyNumberFormat="0" applyAlignment="0" applyProtection="0"/>
    <xf numFmtId="0" fontId="16" fillId="33" borderId="6" applyNumberForma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4" fillId="34" borderId="2" applyNumberFormat="0" applyBorder="0" applyAlignment="0" applyProtection="0"/>
    <xf numFmtId="0" fontId="14" fillId="35" borderId="0">
      <alignment vertical="center"/>
    </xf>
    <xf numFmtId="0" fontId="14" fillId="36" borderId="7" applyNumberFormat="0" applyAlignment="0" applyProtection="0"/>
    <xf numFmtId="0" fontId="12" fillId="7" borderId="4" applyNumberFormat="0" applyFont="0" applyAlignment="0" applyProtection="0"/>
    <xf numFmtId="0" fontId="19" fillId="37" borderId="8" applyNumberFormat="0" applyAlignment="0" applyProtection="0"/>
    <xf numFmtId="9" fontId="3" fillId="0" borderId="0" applyFont="0" applyFill="0" applyBorder="0" applyAlignment="0" applyProtection="0"/>
    <xf numFmtId="0" fontId="14" fillId="38" borderId="9" applyNumberFormat="0" applyProtection="0">
      <alignment vertical="center"/>
    </xf>
    <xf numFmtId="0" fontId="19" fillId="39" borderId="0" applyNumberFormat="0" applyBorder="0" applyAlignment="0" applyProtection="0"/>
    <xf numFmtId="0" fontId="11" fillId="0" borderId="0">
      <alignment vertical="center" wrapText="1"/>
    </xf>
    <xf numFmtId="9" fontId="14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164">
    <xf numFmtId="0" fontId="0" fillId="0" borderId="0" xfId="0"/>
    <xf numFmtId="0" fontId="0" fillId="40" borderId="0" xfId="0" applyFill="1"/>
    <xf numFmtId="0" fontId="25" fillId="40" borderId="0" xfId="0" applyFont="1" applyFill="1" applyAlignment="1">
      <alignment horizontal="right" vertical="center"/>
    </xf>
    <xf numFmtId="0" fontId="2" fillId="40" borderId="0" xfId="0" applyFont="1" applyFill="1" applyAlignment="1">
      <alignment horizontal="right" vertical="center"/>
    </xf>
    <xf numFmtId="0" fontId="11" fillId="40" borderId="0" xfId="0" applyFont="1" applyFill="1"/>
    <xf numFmtId="0" fontId="0" fillId="40" borderId="13" xfId="0" applyFill="1" applyBorder="1"/>
    <xf numFmtId="0" fontId="0" fillId="40" borderId="14" xfId="0" applyFill="1" applyBorder="1"/>
    <xf numFmtId="0" fontId="0" fillId="40" borderId="16" xfId="0" applyFill="1" applyBorder="1"/>
    <xf numFmtId="0" fontId="0" fillId="40" borderId="17" xfId="0" applyFill="1" applyBorder="1"/>
    <xf numFmtId="0" fontId="0" fillId="40" borderId="18" xfId="0" applyFill="1" applyBorder="1"/>
    <xf numFmtId="0" fontId="0" fillId="40" borderId="19" xfId="0" applyFill="1" applyBorder="1"/>
    <xf numFmtId="0" fontId="0" fillId="40" borderId="20" xfId="0" applyFill="1" applyBorder="1"/>
    <xf numFmtId="0" fontId="3" fillId="40" borderId="0" xfId="0" applyFont="1" applyFill="1"/>
    <xf numFmtId="0" fontId="3" fillId="40" borderId="17" xfId="0" applyFont="1" applyFill="1" applyBorder="1"/>
    <xf numFmtId="2" fontId="21" fillId="40" borderId="10" xfId="0" applyNumberFormat="1" applyFont="1" applyFill="1" applyBorder="1" applyAlignment="1">
      <alignment horizontal="center" vertical="center"/>
    </xf>
    <xf numFmtId="0" fontId="12" fillId="40" borderId="0" xfId="0" applyFont="1" applyFill="1" applyAlignment="1">
      <alignment horizontal="center" vertical="center"/>
    </xf>
    <xf numFmtId="0" fontId="12" fillId="40" borderId="17" xfId="0" applyFont="1" applyFill="1" applyBorder="1" applyAlignment="1">
      <alignment horizontal="center" vertical="center"/>
    </xf>
    <xf numFmtId="0" fontId="12" fillId="40" borderId="10" xfId="0" applyFont="1" applyFill="1" applyBorder="1" applyAlignment="1">
      <alignment horizontal="center" vertical="center"/>
    </xf>
    <xf numFmtId="9" fontId="21" fillId="40" borderId="10" xfId="0" applyNumberFormat="1" applyFont="1" applyFill="1" applyBorder="1" applyAlignment="1">
      <alignment horizontal="center" vertical="center"/>
    </xf>
    <xf numFmtId="9" fontId="21" fillId="40" borderId="21" xfId="0" applyNumberFormat="1" applyFont="1" applyFill="1" applyBorder="1" applyAlignment="1">
      <alignment horizontal="center" vertical="center"/>
    </xf>
    <xf numFmtId="0" fontId="12" fillId="40" borderId="21" xfId="0" applyFont="1" applyFill="1" applyBorder="1" applyAlignment="1">
      <alignment horizontal="center" vertical="center"/>
    </xf>
    <xf numFmtId="0" fontId="25" fillId="40" borderId="15" xfId="0" applyFont="1" applyFill="1" applyBorder="1" applyAlignment="1">
      <alignment horizontal="left" vertical="center"/>
    </xf>
    <xf numFmtId="2" fontId="21" fillId="40" borderId="21" xfId="0" applyNumberFormat="1" applyFont="1" applyFill="1" applyBorder="1" applyAlignment="1">
      <alignment horizontal="center" vertical="center"/>
    </xf>
    <xf numFmtId="0" fontId="29" fillId="41" borderId="10" xfId="39" applyFont="1" applyFill="1" applyBorder="1" applyAlignment="1" applyProtection="1">
      <alignment horizontal="center" vertical="center"/>
    </xf>
    <xf numFmtId="0" fontId="30" fillId="40" borderId="10" xfId="39" applyFont="1" applyFill="1" applyBorder="1" applyAlignment="1" applyProtection="1">
      <alignment horizontal="center" vertical="center"/>
    </xf>
    <xf numFmtId="0" fontId="31" fillId="40" borderId="0" xfId="0" applyFont="1" applyFill="1"/>
    <xf numFmtId="0" fontId="27" fillId="41" borderId="11" xfId="39" applyFont="1" applyFill="1" applyBorder="1" applyAlignment="1" applyProtection="1">
      <alignment horizontal="center" vertical="center"/>
    </xf>
    <xf numFmtId="165" fontId="21" fillId="40" borderId="21" xfId="0" applyNumberFormat="1" applyFont="1" applyFill="1" applyBorder="1" applyAlignment="1">
      <alignment horizontal="center" vertical="center"/>
    </xf>
    <xf numFmtId="0" fontId="30" fillId="40" borderId="11" xfId="39" applyFont="1" applyFill="1" applyBorder="1" applyAlignment="1" applyProtection="1">
      <alignment horizontal="center" vertical="center"/>
    </xf>
    <xf numFmtId="0" fontId="26" fillId="40" borderId="13" xfId="0" applyFont="1" applyFill="1" applyBorder="1"/>
    <xf numFmtId="0" fontId="36" fillId="40" borderId="0" xfId="0" applyFont="1" applyFill="1" applyAlignment="1">
      <alignment horizontal="center"/>
    </xf>
    <xf numFmtId="0" fontId="35" fillId="40" borderId="10" xfId="39" applyFont="1" applyFill="1" applyBorder="1" applyAlignment="1" applyProtection="1">
      <alignment horizontal="center"/>
    </xf>
    <xf numFmtId="0" fontId="34" fillId="40" borderId="0" xfId="0" applyFont="1" applyFill="1"/>
    <xf numFmtId="0" fontId="37" fillId="40" borderId="0" xfId="0" applyFont="1" applyFill="1" applyAlignment="1">
      <alignment horizontal="right" vertical="center"/>
    </xf>
    <xf numFmtId="0" fontId="33" fillId="40" borderId="0" xfId="0" applyFont="1" applyFill="1"/>
    <xf numFmtId="1" fontId="28" fillId="40" borderId="10" xfId="0" applyNumberFormat="1" applyFont="1" applyFill="1" applyBorder="1" applyAlignment="1">
      <alignment horizontal="center" vertical="center"/>
    </xf>
    <xf numFmtId="0" fontId="39" fillId="40" borderId="0" xfId="0" applyFont="1" applyFill="1" applyAlignment="1">
      <alignment horizontal="right" vertical="center"/>
    </xf>
    <xf numFmtId="0" fontId="40" fillId="40" borderId="0" xfId="0" applyFont="1" applyFill="1" applyAlignment="1">
      <alignment horizontal="right" vertical="center"/>
    </xf>
    <xf numFmtId="0" fontId="41" fillId="40" borderId="0" xfId="0" applyFont="1" applyFill="1" applyAlignment="1">
      <alignment horizontal="right" vertical="center"/>
    </xf>
    <xf numFmtId="0" fontId="41" fillId="40" borderId="0" xfId="0" applyFont="1" applyFill="1"/>
    <xf numFmtId="10" fontId="21" fillId="40" borderId="10" xfId="0" applyNumberFormat="1" applyFont="1" applyFill="1" applyBorder="1" applyAlignment="1">
      <alignment horizontal="center" vertical="center"/>
    </xf>
    <xf numFmtId="0" fontId="27" fillId="41" borderId="12" xfId="39" applyFont="1" applyFill="1" applyBorder="1" applyAlignment="1" applyProtection="1">
      <alignment horizontal="center" vertical="center"/>
    </xf>
    <xf numFmtId="0" fontId="30" fillId="40" borderId="12" xfId="39" applyFont="1" applyFill="1" applyBorder="1" applyAlignment="1" applyProtection="1">
      <alignment horizontal="center" vertical="center"/>
    </xf>
    <xf numFmtId="0" fontId="30" fillId="40" borderId="23" xfId="39" applyFont="1" applyFill="1" applyBorder="1" applyAlignment="1" applyProtection="1">
      <alignment horizontal="center" vertical="center"/>
    </xf>
    <xf numFmtId="0" fontId="27" fillId="41" borderId="23" xfId="39" applyFont="1" applyFill="1" applyBorder="1" applyAlignment="1" applyProtection="1">
      <alignment horizontal="center" vertical="center"/>
    </xf>
    <xf numFmtId="166" fontId="0" fillId="0" borderId="0" xfId="0" applyNumberFormat="1"/>
    <xf numFmtId="0" fontId="24" fillId="40" borderId="0" xfId="0" applyFont="1" applyFill="1" applyAlignment="1">
      <alignment wrapText="1"/>
    </xf>
    <xf numFmtId="0" fontId="0" fillId="40" borderId="25" xfId="0" applyFill="1" applyBorder="1"/>
    <xf numFmtId="0" fontId="0" fillId="40" borderId="26" xfId="0" applyFill="1" applyBorder="1"/>
    <xf numFmtId="0" fontId="0" fillId="40" borderId="31" xfId="0" applyFill="1" applyBorder="1"/>
    <xf numFmtId="0" fontId="22" fillId="40" borderId="0" xfId="0" applyFont="1" applyFill="1" applyAlignment="1">
      <alignment vertical="center"/>
    </xf>
    <xf numFmtId="2" fontId="21" fillId="40" borderId="0" xfId="0" applyNumberFormat="1" applyFont="1" applyFill="1" applyAlignment="1">
      <alignment vertical="center"/>
    </xf>
    <xf numFmtId="0" fontId="21" fillId="40" borderId="0" xfId="0" applyFont="1" applyFill="1" applyAlignment="1">
      <alignment vertical="center"/>
    </xf>
    <xf numFmtId="0" fontId="12" fillId="40" borderId="37" xfId="0" applyFont="1" applyFill="1" applyBorder="1" applyAlignment="1">
      <alignment horizontal="center" vertical="center"/>
    </xf>
    <xf numFmtId="165" fontId="28" fillId="40" borderId="22" xfId="0" applyNumberFormat="1" applyFont="1" applyFill="1" applyBorder="1" applyAlignment="1">
      <alignment horizontal="center" vertical="center"/>
    </xf>
    <xf numFmtId="0" fontId="12" fillId="40" borderId="22" xfId="0" applyFont="1" applyFill="1" applyBorder="1" applyAlignment="1">
      <alignment horizontal="center" vertical="center"/>
    </xf>
    <xf numFmtId="2" fontId="28" fillId="40" borderId="10" xfId="0" applyNumberFormat="1" applyFont="1" applyFill="1" applyBorder="1" applyAlignment="1">
      <alignment vertical="center"/>
    </xf>
    <xf numFmtId="0" fontId="45" fillId="43" borderId="0" xfId="0" applyFont="1" applyFill="1" applyAlignment="1">
      <alignment horizontal="center" vertical="center"/>
    </xf>
    <xf numFmtId="0" fontId="45" fillId="44" borderId="0" xfId="0" applyFont="1" applyFill="1" applyAlignment="1">
      <alignment horizontal="center" vertical="center"/>
    </xf>
    <xf numFmtId="0" fontId="47" fillId="40" borderId="0" xfId="0" applyFont="1" applyFill="1" applyAlignment="1">
      <alignment wrapText="1"/>
    </xf>
    <xf numFmtId="0" fontId="46" fillId="40" borderId="0" xfId="0" applyFont="1" applyFill="1" applyAlignment="1">
      <alignment horizontal="center" vertical="center" wrapText="1"/>
    </xf>
    <xf numFmtId="0" fontId="46" fillId="40" borderId="0" xfId="0" applyFont="1" applyFill="1" applyAlignment="1">
      <alignment horizontal="left" vertical="center" wrapText="1"/>
    </xf>
    <xf numFmtId="0" fontId="46" fillId="40" borderId="0" xfId="0" applyFont="1" applyFill="1" applyAlignment="1">
      <alignment wrapText="1"/>
    </xf>
    <xf numFmtId="0" fontId="47" fillId="40" borderId="0" xfId="0" applyFont="1" applyFill="1" applyAlignment="1">
      <alignment horizontal="center" vertical="center" wrapText="1"/>
    </xf>
    <xf numFmtId="0" fontId="46" fillId="0" borderId="0" xfId="0" applyFont="1" applyAlignment="1">
      <alignment horizontal="left" vertical="center" wrapText="1"/>
    </xf>
    <xf numFmtId="0" fontId="46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7" fillId="0" borderId="0" xfId="0" applyFont="1" applyAlignment="1">
      <alignment horizontal="left" vertical="center" wrapText="1"/>
    </xf>
    <xf numFmtId="0" fontId="42" fillId="40" borderId="0" xfId="0" applyFont="1" applyFill="1" applyAlignment="1">
      <alignment horizontal="center" vertical="center" wrapText="1"/>
    </xf>
    <xf numFmtId="0" fontId="47" fillId="0" borderId="0" xfId="0" quotePrefix="1" applyFont="1" applyAlignment="1">
      <alignment horizontal="center" vertical="center" wrapText="1"/>
    </xf>
    <xf numFmtId="0" fontId="47" fillId="0" borderId="0" xfId="0" applyFont="1" applyAlignment="1">
      <alignment wrapText="1"/>
    </xf>
    <xf numFmtId="164" fontId="47" fillId="0" borderId="0" xfId="0" applyNumberFormat="1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9" fontId="47" fillId="0" borderId="0" xfId="2" applyFont="1" applyFill="1" applyBorder="1" applyAlignment="1">
      <alignment horizontal="center" vertical="center" wrapText="1"/>
    </xf>
    <xf numFmtId="0" fontId="42" fillId="40" borderId="0" xfId="0" applyFont="1" applyFill="1" applyAlignment="1">
      <alignment horizontal="left" vertical="center" wrapText="1"/>
    </xf>
    <xf numFmtId="164" fontId="42" fillId="40" borderId="0" xfId="0" applyNumberFormat="1" applyFont="1" applyFill="1" applyAlignment="1">
      <alignment horizontal="center" vertical="center" wrapText="1"/>
    </xf>
    <xf numFmtId="0" fontId="42" fillId="40" borderId="0" xfId="0" quotePrefix="1" applyFont="1" applyFill="1" applyAlignment="1">
      <alignment horizontal="center" vertical="center" wrapText="1"/>
    </xf>
    <xf numFmtId="0" fontId="46" fillId="42" borderId="0" xfId="0" applyFont="1" applyFill="1" applyAlignment="1">
      <alignment horizontal="left" vertical="center" wrapText="1"/>
    </xf>
    <xf numFmtId="0" fontId="46" fillId="42" borderId="0" xfId="0" applyFont="1" applyFill="1" applyAlignment="1">
      <alignment wrapText="1"/>
    </xf>
    <xf numFmtId="0" fontId="49" fillId="42" borderId="0" xfId="0" applyFont="1" applyFill="1" applyAlignment="1">
      <alignment horizontal="left" vertical="center"/>
    </xf>
    <xf numFmtId="0" fontId="49" fillId="42" borderId="0" xfId="0" applyFont="1" applyFill="1" applyAlignment="1">
      <alignment horizontal="center" vertical="center"/>
    </xf>
    <xf numFmtId="0" fontId="50" fillId="42" borderId="0" xfId="0" applyFont="1" applyFill="1" applyAlignment="1">
      <alignment horizontal="center" vertical="center"/>
    </xf>
    <xf numFmtId="0" fontId="51" fillId="0" borderId="0" xfId="0" applyFont="1" applyAlignment="1">
      <alignment horizontal="center" wrapText="1"/>
    </xf>
    <xf numFmtId="0" fontId="51" fillId="0" borderId="0" xfId="0" applyFont="1" applyAlignment="1">
      <alignment wrapText="1"/>
    </xf>
    <xf numFmtId="0" fontId="52" fillId="0" borderId="0" xfId="0" applyFont="1"/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2" fontId="46" fillId="42" borderId="0" xfId="0" applyNumberFormat="1" applyFont="1" applyFill="1" applyAlignment="1">
      <alignment horizontal="center" vertical="center" wrapText="1"/>
    </xf>
    <xf numFmtId="0" fontId="23" fillId="40" borderId="0" xfId="0" applyFont="1" applyFill="1" applyAlignment="1">
      <alignment horizontal="left" vertical="center" wrapText="1"/>
    </xf>
    <xf numFmtId="2" fontId="47" fillId="40" borderId="0" xfId="0" applyNumberFormat="1" applyFont="1" applyFill="1" applyAlignment="1">
      <alignment horizontal="center" vertical="center" wrapText="1"/>
    </xf>
    <xf numFmtId="2" fontId="24" fillId="40" borderId="0" xfId="0" applyNumberFormat="1" applyFont="1" applyFill="1" applyAlignment="1">
      <alignment horizontal="center" vertical="center" wrapText="1"/>
    </xf>
    <xf numFmtId="2" fontId="47" fillId="40" borderId="0" xfId="0" applyNumberFormat="1" applyFont="1" applyFill="1" applyAlignment="1" applyProtection="1">
      <alignment horizontal="center" vertical="center" wrapText="1"/>
      <protection locked="0"/>
    </xf>
    <xf numFmtId="2" fontId="24" fillId="40" borderId="0" xfId="0" applyNumberFormat="1" applyFont="1" applyFill="1" applyAlignment="1" applyProtection="1">
      <alignment horizontal="center" vertical="center" wrapText="1"/>
      <protection locked="0"/>
    </xf>
    <xf numFmtId="2" fontId="47" fillId="40" borderId="0" xfId="0" quotePrefix="1" applyNumberFormat="1" applyFont="1" applyFill="1" applyAlignment="1">
      <alignment horizontal="center" vertical="center" wrapText="1"/>
    </xf>
    <xf numFmtId="0" fontId="23" fillId="40" borderId="0" xfId="0" applyFont="1" applyFill="1" applyAlignment="1">
      <alignment wrapText="1"/>
    </xf>
    <xf numFmtId="2" fontId="46" fillId="40" borderId="0" xfId="0" applyNumberFormat="1" applyFont="1" applyFill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left" vertical="center" wrapText="1"/>
    </xf>
    <xf numFmtId="0" fontId="20" fillId="0" borderId="38" xfId="0" applyFont="1" applyBorder="1" applyAlignment="1">
      <alignment horizontal="center" vertical="center" wrapText="1"/>
    </xf>
    <xf numFmtId="2" fontId="4" fillId="0" borderId="38" xfId="0" applyNumberFormat="1" applyFont="1" applyBorder="1" applyAlignment="1">
      <alignment horizontal="center" vertical="center" wrapText="1"/>
    </xf>
    <xf numFmtId="0" fontId="22" fillId="40" borderId="21" xfId="0" applyFont="1" applyFill="1" applyBorder="1" applyAlignment="1">
      <alignment horizontal="center" vertical="center"/>
    </xf>
    <xf numFmtId="0" fontId="22" fillId="40" borderId="24" xfId="0" applyFont="1" applyFill="1" applyBorder="1" applyAlignment="1">
      <alignment horizontal="center" vertical="center"/>
    </xf>
    <xf numFmtId="0" fontId="22" fillId="40" borderId="22" xfId="0" applyFont="1" applyFill="1" applyBorder="1" applyAlignment="1">
      <alignment horizontal="center" vertical="center"/>
    </xf>
    <xf numFmtId="165" fontId="21" fillId="40" borderId="21" xfId="0" applyNumberFormat="1" applyFont="1" applyFill="1" applyBorder="1" applyAlignment="1">
      <alignment horizontal="center" vertical="center"/>
    </xf>
    <xf numFmtId="165" fontId="21" fillId="40" borderId="24" xfId="0" applyNumberFormat="1" applyFont="1" applyFill="1" applyBorder="1" applyAlignment="1">
      <alignment horizontal="center" vertical="center"/>
    </xf>
    <xf numFmtId="165" fontId="21" fillId="40" borderId="22" xfId="0" applyNumberFormat="1" applyFont="1" applyFill="1" applyBorder="1" applyAlignment="1">
      <alignment horizontal="center" vertical="center"/>
    </xf>
    <xf numFmtId="0" fontId="11" fillId="40" borderId="13" xfId="0" applyFont="1" applyFill="1" applyBorder="1" applyAlignment="1">
      <alignment horizontal="center"/>
    </xf>
    <xf numFmtId="0" fontId="11" fillId="40" borderId="14" xfId="0" applyFont="1" applyFill="1" applyBorder="1" applyAlignment="1">
      <alignment horizontal="center"/>
    </xf>
    <xf numFmtId="0" fontId="11" fillId="40" borderId="16" xfId="0" applyFont="1" applyFill="1" applyBorder="1" applyAlignment="1">
      <alignment horizontal="center"/>
    </xf>
    <xf numFmtId="0" fontId="11" fillId="40" borderId="0" xfId="0" applyFont="1" applyFill="1" applyAlignment="1">
      <alignment horizontal="center"/>
    </xf>
    <xf numFmtId="0" fontId="22" fillId="40" borderId="0" xfId="0" applyFont="1" applyFill="1" applyAlignment="1">
      <alignment horizontal="center" vertical="center"/>
    </xf>
    <xf numFmtId="2" fontId="21" fillId="40" borderId="21" xfId="0" applyNumberFormat="1" applyFont="1" applyFill="1" applyBorder="1" applyAlignment="1">
      <alignment horizontal="center" vertical="center"/>
    </xf>
    <xf numFmtId="2" fontId="21" fillId="40" borderId="24" xfId="0" applyNumberFormat="1" applyFont="1" applyFill="1" applyBorder="1" applyAlignment="1">
      <alignment horizontal="center" vertical="center"/>
    </xf>
    <xf numFmtId="2" fontId="21" fillId="40" borderId="22" xfId="0" applyNumberFormat="1" applyFont="1" applyFill="1" applyBorder="1" applyAlignment="1">
      <alignment horizontal="center" vertical="center"/>
    </xf>
    <xf numFmtId="0" fontId="12" fillId="40" borderId="10" xfId="0" applyFont="1" applyFill="1" applyBorder="1" applyAlignment="1">
      <alignment horizontal="center" vertical="center"/>
    </xf>
    <xf numFmtId="165" fontId="28" fillId="40" borderId="21" xfId="0" applyNumberFormat="1" applyFont="1" applyFill="1" applyBorder="1" applyAlignment="1">
      <alignment horizontal="center" vertical="center"/>
    </xf>
    <xf numFmtId="165" fontId="28" fillId="40" borderId="22" xfId="0" applyNumberFormat="1" applyFont="1" applyFill="1" applyBorder="1" applyAlignment="1">
      <alignment horizontal="center" vertical="center"/>
    </xf>
    <xf numFmtId="2" fontId="21" fillId="40" borderId="0" xfId="0" applyNumberFormat="1" applyFont="1" applyFill="1" applyAlignment="1">
      <alignment horizontal="center" vertical="center"/>
    </xf>
    <xf numFmtId="0" fontId="21" fillId="40" borderId="0" xfId="0" applyFont="1" applyFill="1" applyAlignment="1">
      <alignment horizontal="center" vertical="center"/>
    </xf>
    <xf numFmtId="2" fontId="28" fillId="40" borderId="21" xfId="0" applyNumberFormat="1" applyFont="1" applyFill="1" applyBorder="1" applyAlignment="1">
      <alignment horizontal="center" vertical="center"/>
    </xf>
    <xf numFmtId="2" fontId="28" fillId="40" borderId="22" xfId="0" applyNumberFormat="1" applyFont="1" applyFill="1" applyBorder="1" applyAlignment="1">
      <alignment horizontal="center" vertical="center"/>
    </xf>
    <xf numFmtId="1" fontId="28" fillId="40" borderId="21" xfId="0" applyNumberFormat="1" applyFont="1" applyFill="1" applyBorder="1" applyAlignment="1">
      <alignment horizontal="center" vertical="center"/>
    </xf>
    <xf numFmtId="1" fontId="28" fillId="40" borderId="22" xfId="0" applyNumberFormat="1" applyFont="1" applyFill="1" applyBorder="1" applyAlignment="1">
      <alignment horizontal="center" vertical="center"/>
    </xf>
    <xf numFmtId="1" fontId="21" fillId="40" borderId="21" xfId="0" applyNumberFormat="1" applyFont="1" applyFill="1" applyBorder="1" applyAlignment="1">
      <alignment horizontal="center" vertical="center"/>
    </xf>
    <xf numFmtId="1" fontId="21" fillId="40" borderId="24" xfId="0" applyNumberFormat="1" applyFont="1" applyFill="1" applyBorder="1" applyAlignment="1">
      <alignment horizontal="center" vertical="center"/>
    </xf>
    <xf numFmtId="1" fontId="21" fillId="40" borderId="22" xfId="0" applyNumberFormat="1" applyFont="1" applyFill="1" applyBorder="1" applyAlignment="1">
      <alignment horizontal="center" vertical="center"/>
    </xf>
    <xf numFmtId="0" fontId="43" fillId="42" borderId="28" xfId="0" applyFont="1" applyFill="1" applyBorder="1" applyAlignment="1">
      <alignment horizontal="center" vertical="center" wrapText="1"/>
    </xf>
    <xf numFmtId="0" fontId="43" fillId="42" borderId="29" xfId="0" applyFont="1" applyFill="1" applyBorder="1" applyAlignment="1">
      <alignment horizontal="center" vertical="center" wrapText="1"/>
    </xf>
    <xf numFmtId="0" fontId="43" fillId="42" borderId="30" xfId="0" applyFont="1" applyFill="1" applyBorder="1" applyAlignment="1">
      <alignment horizontal="center" vertical="center" wrapText="1"/>
    </xf>
    <xf numFmtId="2" fontId="44" fillId="42" borderId="32" xfId="0" applyNumberFormat="1" applyFont="1" applyFill="1" applyBorder="1" applyAlignment="1">
      <alignment horizontal="center" vertical="center"/>
    </xf>
    <xf numFmtId="2" fontId="44" fillId="42" borderId="33" xfId="0" applyNumberFormat="1" applyFont="1" applyFill="1" applyBorder="1" applyAlignment="1">
      <alignment horizontal="center" vertical="center"/>
    </xf>
    <xf numFmtId="2" fontId="44" fillId="42" borderId="34" xfId="0" applyNumberFormat="1" applyFont="1" applyFill="1" applyBorder="1" applyAlignment="1">
      <alignment horizontal="center" vertical="center"/>
    </xf>
    <xf numFmtId="0" fontId="43" fillId="42" borderId="27" xfId="0" applyFont="1" applyFill="1" applyBorder="1" applyAlignment="1">
      <alignment horizontal="center" vertical="center" wrapText="1"/>
    </xf>
    <xf numFmtId="0" fontId="44" fillId="42" borderId="33" xfId="0" applyFont="1" applyFill="1" applyBorder="1" applyAlignment="1">
      <alignment horizontal="center" vertical="center"/>
    </xf>
    <xf numFmtId="0" fontId="44" fillId="42" borderId="34" xfId="0" applyFont="1" applyFill="1" applyBorder="1" applyAlignment="1">
      <alignment horizontal="center" vertical="center"/>
    </xf>
    <xf numFmtId="0" fontId="42" fillId="42" borderId="0" xfId="0" applyFont="1" applyFill="1" applyAlignment="1">
      <alignment horizontal="center" vertical="center"/>
    </xf>
    <xf numFmtId="0" fontId="42" fillId="42" borderId="17" xfId="0" applyFont="1" applyFill="1" applyBorder="1" applyAlignment="1">
      <alignment horizontal="center" vertical="center"/>
    </xf>
    <xf numFmtId="0" fontId="42" fillId="42" borderId="35" xfId="0" applyFont="1" applyFill="1" applyBorder="1" applyAlignment="1">
      <alignment horizontal="center" vertical="center"/>
    </xf>
    <xf numFmtId="0" fontId="42" fillId="42" borderId="36" xfId="0" applyFont="1" applyFill="1" applyBorder="1" applyAlignment="1">
      <alignment horizontal="center" vertical="center"/>
    </xf>
    <xf numFmtId="0" fontId="23" fillId="40" borderId="1" xfId="0" applyFont="1" applyFill="1" applyBorder="1" applyAlignment="1">
      <alignment horizontal="left" vertical="center" wrapText="1"/>
    </xf>
    <xf numFmtId="0" fontId="47" fillId="40" borderId="1" xfId="0" applyFont="1" applyFill="1" applyBorder="1" applyAlignment="1">
      <alignment wrapText="1"/>
    </xf>
    <xf numFmtId="2" fontId="47" fillId="40" borderId="1" xfId="0" applyNumberFormat="1" applyFont="1" applyFill="1" applyBorder="1" applyAlignment="1" applyProtection="1">
      <alignment horizontal="center" vertical="center" wrapText="1"/>
      <protection locked="0"/>
    </xf>
    <xf numFmtId="2" fontId="24" fillId="40" borderId="1" xfId="0" applyNumberFormat="1" applyFont="1" applyFill="1" applyBorder="1" applyAlignment="1">
      <alignment horizontal="center" vertical="center" wrapText="1"/>
    </xf>
    <xf numFmtId="2" fontId="47" fillId="40" borderId="1" xfId="0" applyNumberFormat="1" applyFont="1" applyFill="1" applyBorder="1" applyAlignment="1">
      <alignment horizontal="center" vertical="center" wrapText="1"/>
    </xf>
    <xf numFmtId="9" fontId="47" fillId="40" borderId="1" xfId="2" applyFont="1" applyFill="1" applyBorder="1" applyAlignment="1">
      <alignment horizontal="center" vertical="center" wrapText="1"/>
    </xf>
    <xf numFmtId="2" fontId="47" fillId="40" borderId="1" xfId="0" quotePrefix="1" applyNumberFormat="1" applyFont="1" applyFill="1" applyBorder="1" applyAlignment="1">
      <alignment horizontal="center" vertical="center" wrapText="1"/>
    </xf>
    <xf numFmtId="9" fontId="47" fillId="40" borderId="1" xfId="2" quotePrefix="1" applyFont="1" applyFill="1" applyBorder="1" applyAlignment="1">
      <alignment horizontal="center" vertical="center" wrapText="1"/>
    </xf>
    <xf numFmtId="2" fontId="47" fillId="40" borderId="1" xfId="2" quotePrefix="1" applyNumberFormat="1" applyFont="1" applyFill="1" applyBorder="1" applyAlignment="1">
      <alignment horizontal="center" vertical="center" wrapText="1"/>
    </xf>
    <xf numFmtId="0" fontId="23" fillId="40" borderId="1" xfId="0" applyFont="1" applyFill="1" applyBorder="1" applyAlignment="1">
      <alignment horizontal="left" vertical="center"/>
    </xf>
    <xf numFmtId="0" fontId="47" fillId="40" borderId="1" xfId="0" applyFont="1" applyFill="1" applyBorder="1" applyAlignment="1"/>
    <xf numFmtId="2" fontId="24" fillId="40" borderId="1" xfId="0" applyNumberFormat="1" applyFont="1" applyFill="1" applyBorder="1" applyAlignment="1">
      <alignment horizontal="center" vertical="center"/>
    </xf>
    <xf numFmtId="0" fontId="46" fillId="42" borderId="0" xfId="0" applyFont="1" applyFill="1" applyAlignment="1"/>
    <xf numFmtId="0" fontId="47" fillId="40" borderId="0" xfId="0" applyFont="1" applyFill="1" applyAlignment="1"/>
    <xf numFmtId="0" fontId="46" fillId="40" borderId="0" xfId="0" applyFont="1" applyFill="1" applyAlignment="1"/>
    <xf numFmtId="0" fontId="46" fillId="40" borderId="0" xfId="0" applyFont="1" applyFill="1" applyAlignment="1">
      <alignment horizontal="center"/>
    </xf>
    <xf numFmtId="0" fontId="47" fillId="40" borderId="0" xfId="0" applyFont="1" applyFill="1" applyAlignment="1">
      <alignment horizontal="center"/>
    </xf>
    <xf numFmtId="0" fontId="23" fillId="40" borderId="1" xfId="0" applyFont="1" applyFill="1" applyBorder="1" applyAlignment="1">
      <alignment wrapText="1"/>
    </xf>
    <xf numFmtId="0" fontId="47" fillId="40" borderId="1" xfId="0" applyFont="1" applyFill="1" applyBorder="1" applyAlignment="1">
      <alignment horizontal="center" vertical="center" wrapText="1"/>
    </xf>
    <xf numFmtId="2" fontId="24" fillId="40" borderId="1" xfId="0" applyNumberFormat="1" applyFont="1" applyFill="1" applyBorder="1" applyAlignment="1" applyProtection="1">
      <alignment horizontal="center" vertical="center" wrapText="1"/>
      <protection locked="0"/>
    </xf>
    <xf numFmtId="164" fontId="47" fillId="40" borderId="1" xfId="0" applyNumberFormat="1" applyFont="1" applyFill="1" applyBorder="1" applyAlignment="1">
      <alignment horizontal="center" vertical="center"/>
    </xf>
    <xf numFmtId="0" fontId="47" fillId="40" borderId="1" xfId="0" applyFont="1" applyFill="1" applyBorder="1" applyAlignment="1">
      <alignment horizontal="center" vertical="center"/>
    </xf>
    <xf numFmtId="9" fontId="47" fillId="40" borderId="1" xfId="2" applyFont="1" applyFill="1" applyBorder="1" applyAlignment="1">
      <alignment horizontal="center" vertical="center"/>
    </xf>
    <xf numFmtId="2" fontId="24" fillId="40" borderId="1" xfId="0" applyNumberFormat="1" applyFont="1" applyFill="1" applyBorder="1" applyAlignment="1" applyProtection="1">
      <alignment horizontal="center" vertical="center" wrapText="1"/>
    </xf>
  </cellXfs>
  <cellStyles count="52">
    <cellStyle name="20% - Accent1" xfId="9" builtinId="30" customBuiltin="1"/>
    <cellStyle name="20% - Accent2" xfId="13" builtinId="34" customBuiltin="1"/>
    <cellStyle name="20% - Accent3" xfId="17" builtinId="38" customBuiltin="1"/>
    <cellStyle name="20% - Accent4" xfId="21" builtinId="42" customBuiltin="1"/>
    <cellStyle name="20% - Accent5" xfId="25" builtinId="46" customBuiltin="1"/>
    <cellStyle name="20% - Accent6" xfId="29" builtinId="50" customBuiltin="1"/>
    <cellStyle name="40% - Accent1" xfId="10" builtinId="31" customBuiltin="1"/>
    <cellStyle name="40% - Accent2" xfId="14" builtinId="35" customBuiltin="1"/>
    <cellStyle name="40% - Accent3" xfId="18" builtinId="39" customBuiltin="1"/>
    <cellStyle name="40% - Accent4" xfId="22" builtinId="43" customBuiltin="1"/>
    <cellStyle name="40% - Accent5" xfId="26" builtinId="47" customBuiltin="1"/>
    <cellStyle name="40% - Accent6" xfId="30" builtinId="51" customBuiltin="1"/>
    <cellStyle name="60% - Accent1" xfId="11" builtinId="32" customBuiltin="1"/>
    <cellStyle name="60% - Accent2" xfId="15" builtinId="36" customBuiltin="1"/>
    <cellStyle name="60% - Accent3" xfId="19" builtinId="40" customBuiltin="1"/>
    <cellStyle name="60% - Accent4" xfId="23" builtinId="44" customBuiltin="1"/>
    <cellStyle name="60% - Accent5" xfId="27" builtinId="48" customBuiltin="1"/>
    <cellStyle name="60% - Accent6" xfId="31" builtinId="52" customBuiltin="1"/>
    <cellStyle name="Accent1" xfId="8" builtinId="29" customBuiltin="1"/>
    <cellStyle name="Accent2" xfId="12" builtinId="33" customBuiltin="1"/>
    <cellStyle name="Accent3" xfId="16" builtinId="37" customBuiltin="1"/>
    <cellStyle name="Accent4" xfId="20" builtinId="41" customBuiltin="1"/>
    <cellStyle name="Accent5" xfId="24" builtinId="45" customBuiltin="1"/>
    <cellStyle name="Accent6" xfId="28" builtinId="49" customBuiltin="1"/>
    <cellStyle name="Auto-Calculated-Cells" xfId="1" xr:uid="{D3FD5D70-0366-4B3E-B379-D8BFB2ADE279}"/>
    <cellStyle name="Bad" xfId="5" builtinId="27" customBuiltin="1"/>
    <cellStyle name="Calculation 2" xfId="34" xr:uid="{2BA84031-8F03-4E80-8D49-DB72A85BA27B}"/>
    <cellStyle name="Calculation 3" xfId="33" xr:uid="{86661C8B-0E15-43A0-8F70-5C6F023D7C12}"/>
    <cellStyle name="Check Cell" xfId="7" builtinId="23" customBuiltin="1"/>
    <cellStyle name="Comma 2" xfId="36" xr:uid="{75D5ACCB-067A-4D3A-9EC0-F171860D1F1E}"/>
    <cellStyle name="Comma 3" xfId="35" xr:uid="{55CA1873-0958-4BEA-AD26-165FC75E92E8}"/>
    <cellStyle name="Explanatory Text 2" xfId="37" xr:uid="{4E8576C1-1E3E-46C3-A6CB-38E61B46A78D}"/>
    <cellStyle name="Followed Hyperlink" xfId="38" builtinId="9" customBuiltin="1"/>
    <cellStyle name="Good" xfId="4" builtinId="26" customBuiltin="1"/>
    <cellStyle name="Hyperlink" xfId="39" builtinId="8" customBuiltin="1"/>
    <cellStyle name="Hyperlink 2" xfId="50" xr:uid="{BC0635BC-A1CE-4AC0-ACA1-197FD335B026}"/>
    <cellStyle name="Input 2" xfId="40" xr:uid="{816C5A93-0FE7-42A1-8B99-154654A3FAD9}"/>
    <cellStyle name="Input data" xfId="41" xr:uid="{3A113526-3836-42AC-8715-509D9919912B}"/>
    <cellStyle name="Linked Cell 2" xfId="42" xr:uid="{E0E79354-9E91-45ED-B72F-E8FB1471AFFD}"/>
    <cellStyle name="Neutral" xfId="6" builtinId="28" customBuiltin="1"/>
    <cellStyle name="Normal" xfId="0" builtinId="0"/>
    <cellStyle name="Normal 2" xfId="51" xr:uid="{50B2A68E-16C8-4253-AEBE-CAFDA6AC684A}"/>
    <cellStyle name="Normal 3" xfId="32" xr:uid="{5AC6DCAD-928B-4C57-8460-CC2FCF1895A8}"/>
    <cellStyle name="Normal 4" xfId="48" xr:uid="{E23E300F-F59C-4A9F-B67A-B68BDDC47353}"/>
    <cellStyle name="Note 2" xfId="43" xr:uid="{D6541518-790D-4CEA-95C4-9F50F1A7B516}"/>
    <cellStyle name="Output 2" xfId="44" xr:uid="{AC6B64E4-7F54-4977-B08F-47962EFD4E8A}"/>
    <cellStyle name="Per cent" xfId="2" builtinId="5"/>
    <cellStyle name="Percent 2" xfId="45" xr:uid="{1DEF480D-888A-4681-B990-1F1427892F3B}"/>
    <cellStyle name="Percent 3" xfId="49" xr:uid="{5F92C3CD-3A70-4B1F-A870-CC3ABD4562A1}"/>
    <cellStyle name="Selection" xfId="46" xr:uid="{CAA3EFA6-B274-4E66-9DB4-46E8426FB2D2}"/>
    <cellStyle name="Title" xfId="3" builtinId="15" customBuiltin="1"/>
    <cellStyle name="Warning Text 2" xfId="47" xr:uid="{AFD48EBF-C5E3-4D64-998C-C7C13956DA74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A1F14"/>
        <name val="Arial"/>
        <family val="2"/>
        <scheme val="none"/>
      </font>
      <numFmt numFmtId="2" formatCode="0.00"/>
      <fill>
        <patternFill patternType="solid">
          <fgColor indexed="64"/>
          <bgColor rgb="FFEFEAE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2A1F14"/>
        <name val="Arial"/>
        <family val="2"/>
        <scheme val="none"/>
      </font>
      <fill>
        <patternFill patternType="solid">
          <fgColor indexed="64"/>
          <bgColor rgb="FFEFEAE2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lor rgb="FFEFEAE2"/>
      </font>
      <numFmt numFmtId="30" formatCode="@"/>
      <fill>
        <patternFill patternType="solid">
          <bgColor rgb="FF00B050"/>
        </patternFill>
      </fill>
      <border>
        <vertical/>
        <horizontal/>
      </border>
    </dxf>
    <dxf>
      <font>
        <b/>
        <i val="0"/>
        <strike val="0"/>
        <color rgb="FFEFEAE2"/>
      </font>
      <fill>
        <patternFill>
          <bgColor rgb="FFC00000"/>
        </patternFill>
      </fill>
      <border>
        <vertical/>
        <horizontal/>
      </border>
    </dxf>
    <dxf>
      <font>
        <b/>
        <i val="0"/>
        <color rgb="FFEFEAE2"/>
      </font>
      <numFmt numFmtId="30" formatCode="@"/>
      <fill>
        <patternFill patternType="solid">
          <bgColor rgb="FFC00000"/>
        </patternFill>
      </fill>
      <border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2A1F14"/>
        </left>
        <right/>
        <top style="thin">
          <color rgb="FF2A1F14"/>
        </top>
        <bottom style="thin">
          <color rgb="FF2A1F14"/>
        </bottom>
        <vertical style="thin">
          <color rgb="FF2A1F14"/>
        </vertical>
        <horizontal style="thin">
          <color rgb="FF2A1F1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2A1F14"/>
        </left>
        <right style="thin">
          <color rgb="FF2A1F14"/>
        </right>
        <top style="thin">
          <color rgb="FF2A1F14"/>
        </top>
        <bottom style="thin">
          <color rgb="FF2A1F14"/>
        </bottom>
        <vertical style="thin">
          <color rgb="FF2A1F14"/>
        </vertical>
        <horizontal style="thin">
          <color rgb="FF2A1F1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2A1F14"/>
        </left>
        <right style="thin">
          <color rgb="FF2A1F14"/>
        </right>
        <top style="thin">
          <color rgb="FF2A1F14"/>
        </top>
        <bottom style="thin">
          <color rgb="FF2A1F14"/>
        </bottom>
        <vertical style="thin">
          <color rgb="FF2A1F14"/>
        </vertical>
        <horizontal style="thin">
          <color rgb="FF2A1F1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2A1F14"/>
        </left>
        <right style="thin">
          <color rgb="FF2A1F14"/>
        </right>
        <top style="thin">
          <color rgb="FF2A1F14"/>
        </top>
        <bottom style="thin">
          <color rgb="FF2A1F14"/>
        </bottom>
        <vertical style="thin">
          <color rgb="FF2A1F14"/>
        </vertical>
        <horizontal style="thin">
          <color rgb="FF2A1F1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2A1F14"/>
        </left>
        <right style="thin">
          <color rgb="FF2A1F14"/>
        </right>
        <top style="thin">
          <color rgb="FF2A1F14"/>
        </top>
        <bottom style="thin">
          <color rgb="FF2A1F14"/>
        </bottom>
        <vertical style="thin">
          <color rgb="FF2A1F14"/>
        </vertical>
        <horizontal style="thin">
          <color rgb="FF2A1F1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2A1F14"/>
        </left>
        <right style="thin">
          <color rgb="FF2A1F14"/>
        </right>
        <top style="thin">
          <color rgb="FF2A1F14"/>
        </top>
        <bottom style="thin">
          <color rgb="FF2A1F14"/>
        </bottom>
        <vertical style="thin">
          <color rgb="FF2A1F14"/>
        </vertical>
        <horizontal style="thin">
          <color rgb="FF2A1F1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2A1F14"/>
        </left>
        <right style="thin">
          <color rgb="FF2A1F14"/>
        </right>
        <top style="thin">
          <color rgb="FF2A1F14"/>
        </top>
        <bottom style="thin">
          <color rgb="FF2A1F14"/>
        </bottom>
        <vertical style="thin">
          <color rgb="FF2A1F14"/>
        </vertical>
        <horizontal style="thin">
          <color rgb="FF2A1F1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2A1F14"/>
        </left>
        <right style="thin">
          <color rgb="FF2A1F14"/>
        </right>
        <top style="thin">
          <color rgb="FF2A1F14"/>
        </top>
        <bottom style="thin">
          <color rgb="FF2A1F14"/>
        </bottom>
        <vertical style="thin">
          <color rgb="FF2A1F14"/>
        </vertical>
        <horizontal style="thin">
          <color rgb="FF2A1F1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2A1F14"/>
        </right>
        <top style="thin">
          <color rgb="FF2A1F14"/>
        </top>
        <bottom style="thin">
          <color rgb="FF2A1F14"/>
        </bottom>
        <vertical style="thin">
          <color rgb="FF2A1F14"/>
        </vertical>
        <horizontal style="thin">
          <color rgb="FF2A1F14"/>
        </horizontal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2A1F14"/>
        </left>
        <right style="thin">
          <color rgb="FF2A1F14"/>
        </right>
        <top/>
        <bottom/>
        <vertical style="thin">
          <color rgb="FF2A1F14"/>
        </vertical>
        <horizontal style="thin">
          <color rgb="FF2A1F14"/>
        </horizontal>
      </border>
    </dxf>
    <dxf>
      <font>
        <strike val="0"/>
        <outline val="0"/>
        <shadow val="0"/>
        <u val="none"/>
        <vertAlign val="baseline"/>
        <sz val="12"/>
        <color rgb="FF2A1F14"/>
        <name val="Arial"/>
        <family val="2"/>
        <scheme val="none"/>
      </font>
      <fill>
        <patternFill patternType="solid">
          <fgColor indexed="64"/>
          <bgColor rgb="FFEFEAE2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A1F14"/>
        <name val="Arial"/>
        <family val="2"/>
        <scheme val="none"/>
      </font>
      <fill>
        <patternFill patternType="solid">
          <fgColor indexed="64"/>
          <bgColor rgb="FFEFEAE2"/>
        </patternFill>
      </fill>
      <alignment textRotation="0" wrapText="1" indent="0" justifyLastLine="0" shrinkToFit="0" readingOrder="0"/>
    </dxf>
  </dxfs>
  <tableStyles count="0" defaultTableStyle="TableStyleMedium2" defaultPivotStyle="PivotStyleLight16"/>
  <colors>
    <mruColors>
      <color rgb="FF2A1F14"/>
      <color rgb="FF8B6F4E"/>
      <color rgb="FFC9B896"/>
      <color rgb="FFEFEAE2"/>
      <color rgb="FFCEC9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42234579168175"/>
          <c:y val="7.1724628171478552E-2"/>
          <c:w val="0.75076759273015403"/>
          <c:h val="0.73996135899679205"/>
        </c:manualLayout>
      </c:layout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4800320"/>
        <c:axId val="384808000"/>
      </c:barChart>
      <c:catAx>
        <c:axId val="3848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8000"/>
        <c:crosses val="autoZero"/>
        <c:auto val="1"/>
        <c:lblAlgn val="ctr"/>
        <c:lblOffset val="100"/>
        <c:noMultiLvlLbl val="0"/>
      </c:catAx>
      <c:valAx>
        <c:axId val="38480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Scope</a:t>
            </a:r>
            <a:r>
              <a:rPr lang="en-IN" baseline="0"/>
              <a:t> 1, 2, 3 emissions</a:t>
            </a:r>
            <a:endParaRPr lang="en-IN"/>
          </a:p>
        </c:rich>
      </c:tx>
      <c:layout>
        <c:manualLayout>
          <c:xMode val="edge"/>
          <c:yMode val="edge"/>
          <c:x val="0.2264538221784777"/>
          <c:y val="3.1073446327683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277921314523184"/>
          <c:y val="0.22177464097475624"/>
          <c:w val="0.79288843777340334"/>
          <c:h val="0.618839756310948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D9-4B32-B875-800D7720CD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D9-4B32-B875-800D7720CD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D9-4B32-B875-800D7720CD5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(Metrics!$B$23:$B$24,Metrics!$B$28)</c:f>
              <c:strCache>
                <c:ptCount val="3"/>
                <c:pt idx="0">
                  <c:v>Gross Scope 1 GHG emissions in tCO2e (Direct) </c:v>
                </c:pt>
                <c:pt idx="1">
                  <c:v>Gross Scope 2 GHG emissions in tCO2e (Location-based)</c:v>
                </c:pt>
                <c:pt idx="2">
                  <c:v>Total GHG emissions in tCO2e (Scope 3) </c:v>
                </c:pt>
              </c:strCache>
            </c:strRef>
          </c:cat>
          <c:val>
            <c:numRef>
              <c:f>(Metrics!$C$23:$C$24,Metrics!$C$28)</c:f>
              <c:numCache>
                <c:formatCode>0.00</c:formatCode>
                <c:ptCount val="3"/>
                <c:pt idx="0">
                  <c:v>23.964548000000001</c:v>
                </c:pt>
                <c:pt idx="1">
                  <c:v>3.24</c:v>
                </c:pt>
                <c:pt idx="2">
                  <c:v>23.39557878758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98-4847-A998-8781825559C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629839238845145E-2"/>
          <c:y val="0.8747102931152011"/>
          <c:w val="0.95449141420881711"/>
          <c:h val="0.125289706884798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42234579168175"/>
          <c:y val="7.1724628171478552E-2"/>
          <c:w val="0.75076759273015403"/>
          <c:h val="0.7399613589967920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2A1F1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rgbClr val="EFEAE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(Metrics!$B$47,Metrics!$B$49,Metrics!$B$52)</c:f>
              <c:strCache>
                <c:ptCount val="3"/>
                <c:pt idx="0">
                  <c:v>Total water withdrawal from all sites (in cubic metres)</c:v>
                </c:pt>
                <c:pt idx="1">
                  <c:v>Total water discharged (in cubic metres)</c:v>
                </c:pt>
                <c:pt idx="2">
                  <c:v>Total net water consumption (in cubic meters)</c:v>
                </c:pt>
              </c:strCache>
            </c:strRef>
          </c:cat>
          <c:val>
            <c:numRef>
              <c:f>(Metrics!$C$47,Metrics!$C$49,Metrics!$C$52)</c:f>
              <c:numCache>
                <c:formatCode>0.00</c:formatCode>
                <c:ptCount val="3"/>
                <c:pt idx="0">
                  <c:v>250</c:v>
                </c:pt>
                <c:pt idx="1">
                  <c:v>65</c:v>
                </c:pt>
                <c:pt idx="2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4-421A-92E2-F3FAFEDA2E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4800320"/>
        <c:axId val="384808000"/>
      </c:barChart>
      <c:catAx>
        <c:axId val="3848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8000"/>
        <c:crosses val="autoZero"/>
        <c:auto val="1"/>
        <c:lblAlgn val="ctr"/>
        <c:lblOffset val="100"/>
        <c:noMultiLvlLbl val="0"/>
      </c:catAx>
      <c:valAx>
        <c:axId val="384808000"/>
        <c:scaling>
          <c:orientation val="minMax"/>
          <c:max val="2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B6F4E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Metrics!$B$34:$B$37</c:f>
              <c:strCache>
                <c:ptCount val="4"/>
                <c:pt idx="0">
                  <c:v>Air pollutant Nitrogen Oxides (NOx) in kg</c:v>
                </c:pt>
                <c:pt idx="1">
                  <c:v>Air pollutants (SOx)  in kg</c:v>
                </c:pt>
                <c:pt idx="2">
                  <c:v>Particulate Matter (PM10 / PM2.5)  in kg</c:v>
                </c:pt>
                <c:pt idx="3">
                  <c:v>Emissions to water in kg (for e.g. Nitrates)</c:v>
                </c:pt>
              </c:strCache>
            </c:strRef>
          </c:cat>
          <c:val>
            <c:numRef>
              <c:f>Metrics!$C$34:$C$37</c:f>
              <c:numCache>
                <c:formatCode>0.00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100</c:v>
                </c:pt>
                <c:pt idx="3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76-45D6-9A5B-6E10EFC0C7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7853552"/>
        <c:axId val="57878992"/>
      </c:barChart>
      <c:catAx>
        <c:axId val="5785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8992"/>
        <c:crosses val="autoZero"/>
        <c:auto val="1"/>
        <c:lblAlgn val="ctr"/>
        <c:lblOffset val="100"/>
        <c:noMultiLvlLbl val="0"/>
      </c:catAx>
      <c:valAx>
        <c:axId val="578789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785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CEC9C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Inputs!$B$77:$B$80</c:f>
              <c:strCache>
                <c:ptCount val="4"/>
                <c:pt idx="0">
                  <c:v>PFAS (SVHC) in effluents</c:v>
                </c:pt>
                <c:pt idx="1">
                  <c:v>Solvents used in finishing (Hazardous)</c:v>
                </c:pt>
                <c:pt idx="2">
                  <c:v>Dyestuffs and pigments containing hazardous substances</c:v>
                </c:pt>
                <c:pt idx="3">
                  <c:v>Sludges from on-site treatment (hazardous)</c:v>
                </c:pt>
              </c:strCache>
            </c:strRef>
          </c:cat>
          <c:val>
            <c:numRef>
              <c:f>Inputs!$H$77:$H$80</c:f>
              <c:numCache>
                <c:formatCode>General</c:formatCode>
                <c:ptCount val="4"/>
                <c:pt idx="0">
                  <c:v>5.0000000000000001E-3</c:v>
                </c:pt>
                <c:pt idx="1">
                  <c:v>2.5000000000000001E-2</c:v>
                </c:pt>
                <c:pt idx="2">
                  <c:v>2.5000000000000001E-2</c:v>
                </c:pt>
                <c:pt idx="3">
                  <c:v>2.5000000000000001E-2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B6E-41D6-9C62-261A407176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7853552"/>
        <c:axId val="57878992"/>
      </c:barChart>
      <c:catAx>
        <c:axId val="5785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8992"/>
        <c:crosses val="autoZero"/>
        <c:auto val="1"/>
        <c:lblAlgn val="ctr"/>
        <c:lblOffset val="100"/>
        <c:noMultiLvlLbl val="0"/>
      </c:catAx>
      <c:valAx>
        <c:axId val="578789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785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CEC9C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42234579168175"/>
          <c:y val="7.1724628171478552E-2"/>
          <c:w val="0.75076759273015403"/>
          <c:h val="0.7399613589967920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FEAE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Metrics!$B$14:$B$20</c15:sqref>
                  </c15:fullRef>
                </c:ext>
              </c:extLst>
              <c:f>Metrics!$B$14:$B$15</c:f>
              <c:strCache>
                <c:ptCount val="2"/>
                <c:pt idx="0">
                  <c:v>Total energy consumption (in MWh)</c:v>
                </c:pt>
                <c:pt idx="1">
                  <c:v>Total energy use per $million of revenue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Metrics!$C$14:$C$20</c15:sqref>
                  </c15:fullRef>
                </c:ext>
              </c:extLst>
              <c:f>Metrics!$C$14:$C$15</c:f>
              <c:numCache>
                <c:formatCode>0.00</c:formatCode>
                <c:ptCount val="2"/>
                <c:pt idx="0">
                  <c:v>4643.8874999999989</c:v>
                </c:pt>
                <c:pt idx="1">
                  <c:v>928.7774999999998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6-42BF-BA3B-B9E55EB72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4800320"/>
        <c:axId val="384808000"/>
      </c:barChart>
      <c:catAx>
        <c:axId val="3848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8000"/>
        <c:crosses val="autoZero"/>
        <c:auto val="1"/>
        <c:lblAlgn val="ctr"/>
        <c:lblOffset val="100"/>
        <c:noMultiLvlLbl val="0"/>
      </c:catAx>
      <c:valAx>
        <c:axId val="38480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Renewable vs </a:t>
            </a:r>
            <a:br>
              <a:rPr lang="en-IN"/>
            </a:br>
            <a:r>
              <a:rPr lang="en-IN"/>
              <a:t>Non-Renewable</a:t>
            </a:r>
          </a:p>
        </c:rich>
      </c:tx>
      <c:layout>
        <c:manualLayout>
          <c:xMode val="edge"/>
          <c:yMode val="edge"/>
          <c:x val="0.2264538221784777"/>
          <c:y val="3.1073446327683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77921314523184"/>
          <c:y val="0.22177464097475624"/>
          <c:w val="0.79288843777340334"/>
          <c:h val="0.618839756310948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2C4-4DC9-A619-EB02BEBA00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2C4-4DC9-A619-EB02BEBA001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A3CFF9B-8CC3-46A0-8EC6-7E13DCF94176}" type="PERCENTAGE">
                      <a:rPr lang="en-US" baseline="0"/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2C4-4DC9-A619-EB02BEBA00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CC15C5-D5CB-4582-BCD8-D693C1E7A844}" type="PERCENTAGE">
                      <a:rPr lang="en-US" baseline="0"/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2C4-4DC9-A619-EB02BEBA001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Metrics!$B$14:$B$20</c15:sqref>
                  </c15:fullRef>
                </c:ext>
              </c:extLst>
              <c:f>Metrics!$B$18:$B$19</c:f>
              <c:strCache>
                <c:ptCount val="2"/>
                <c:pt idx="0">
                  <c:v>Total Renewable Electricity</c:v>
                </c:pt>
                <c:pt idx="1">
                  <c:v>Total Non-Renewable Electricity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Metrics!$C$14:$C$20</c15:sqref>
                  </c15:fullRef>
                </c:ext>
              </c:extLst>
              <c:f>Metrics!$C$18:$C$19</c:f>
              <c:numCache>
                <c:formatCode>0.00</c:formatCode>
                <c:ptCount val="2"/>
                <c:pt idx="0">
                  <c:v>600</c:v>
                </c:pt>
                <c:pt idx="1">
                  <c:v>4000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Metrics!$C$17</c15:sqref>
                  <c15:dLbl>
                    <c:idx val="-1"/>
                    <c:tx>
                      <c:rich>
                        <a:bodyPr/>
                        <a:lstStyle/>
                        <a:p>
                          <a:fld id="{E1989D5B-6C3F-46BF-AD05-3F0A7F12AADE}" type="PERCENTAGE">
                            <a:rPr lang="en-US" baseline="0"/>
                            <a:pPr/>
                            <a:t>[PERCENTAGE]</a:t>
                          </a:fld>
                          <a:endParaRPr lang="en-IN"/>
                        </a:p>
                      </c:rich>
                    </c:tx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8685-4919-AB4A-4254462DA75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52C4-4DC9-A619-EB02BEBA001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629839238845145E-2"/>
          <c:y val="0.8747102931152011"/>
          <c:w val="0.93331966316710413"/>
          <c:h val="0.1078597920658690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42234579168175"/>
          <c:y val="7.1724628171478552E-2"/>
          <c:w val="0.75076759273015403"/>
          <c:h val="0.7399613589967920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FEAE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Metrics!$B$23:$B$29</c15:sqref>
                  </c15:fullRef>
                </c:ext>
              </c:extLst>
              <c:f>Metrics!$B$25:$B$26</c:f>
              <c:strCache>
                <c:ptCount val="2"/>
                <c:pt idx="0">
                  <c:v>Gross Indirect Scope 3 GHG emissions in tCO2e (Business Travels)</c:v>
                </c:pt>
                <c:pt idx="1">
                  <c:v>Gross Indirect Scope 3 GHG emissions in tCO2e (Upstream Transport)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Metrics!$C$23:$C$29</c15:sqref>
                  </c15:fullRef>
                </c:ext>
              </c:extLst>
              <c:f>Metrics!$C$25:$C$26</c:f>
              <c:numCache>
                <c:formatCode>0.00</c:formatCode>
                <c:ptCount val="2"/>
                <c:pt idx="0">
                  <c:v>19.320178787579998</c:v>
                </c:pt>
                <c:pt idx="1">
                  <c:v>4.0754000000000001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F-47FC-9792-24437F2EB0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4800320"/>
        <c:axId val="384808000"/>
      </c:barChart>
      <c:catAx>
        <c:axId val="3848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8000"/>
        <c:crosses val="autoZero"/>
        <c:auto val="1"/>
        <c:lblAlgn val="ctr"/>
        <c:lblOffset val="100"/>
        <c:noMultiLvlLbl val="0"/>
      </c:catAx>
      <c:valAx>
        <c:axId val="38480800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Scope 1,</a:t>
            </a:r>
            <a:r>
              <a:rPr lang="en-IN" baseline="0"/>
              <a:t> Scope 2 &amp; Scope 3 emissions (in tCO</a:t>
            </a:r>
            <a:r>
              <a:rPr lang="en-IN" baseline="-25000"/>
              <a:t>2</a:t>
            </a:r>
            <a:r>
              <a:rPr lang="en-IN" baseline="0"/>
              <a:t>e)</a:t>
            </a:r>
            <a:endParaRPr lang="en-IN"/>
          </a:p>
        </c:rich>
      </c:tx>
      <c:layout>
        <c:manualLayout>
          <c:xMode val="edge"/>
          <c:yMode val="edge"/>
          <c:x val="0.2264538221784777"/>
          <c:y val="3.1073446327683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277921314523184"/>
          <c:y val="0.22177464097475624"/>
          <c:w val="0.79288843777340334"/>
          <c:h val="0.618839756310948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EA-4E3F-B0A8-F37DD1CB96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EA-4E3F-B0A8-F37DD1CB96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F5-4A17-A10C-9973A7FB45E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Metrics!$B$23:$B$31</c15:sqref>
                  </c15:fullRef>
                </c:ext>
              </c:extLst>
              <c:f>(Metrics!$B$23:$B$24,Metrics!$B$28)</c:f>
              <c:strCache>
                <c:ptCount val="3"/>
                <c:pt idx="0">
                  <c:v>Gross Scope 1 GHG emissions in tCO2e (Direct) </c:v>
                </c:pt>
                <c:pt idx="1">
                  <c:v>Gross Scope 2 GHG emissions in tCO2e (Location-based)</c:v>
                </c:pt>
                <c:pt idx="2">
                  <c:v>Total GHG emissions in tCO2e (Scope 3)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Metrics!$C$23:$C$31</c15:sqref>
                  </c15:fullRef>
                </c:ext>
              </c:extLst>
              <c:f>(Metrics!$C$23:$C$24,Metrics!$C$28)</c:f>
              <c:numCache>
                <c:formatCode>0.00</c:formatCode>
                <c:ptCount val="3"/>
                <c:pt idx="0">
                  <c:v>23.964548000000001</c:v>
                </c:pt>
                <c:pt idx="1">
                  <c:v>3.24</c:v>
                </c:pt>
                <c:pt idx="2">
                  <c:v>23.39557878758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77F5-4A17-A10C-9973A7FB45E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629839238845145E-2"/>
          <c:y val="0.8747102931152011"/>
          <c:w val="0.93331966316710413"/>
          <c:h val="0.1078597920658690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42234579168175"/>
          <c:y val="7.1724628171478552E-2"/>
          <c:w val="0.75076759273015403"/>
          <c:h val="0.7399613589967920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8B6F4E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FEAE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(Metrics!$B$47,Metrics!$B$49,Metrics!$B$52)</c:f>
              <c:strCache>
                <c:ptCount val="3"/>
                <c:pt idx="0">
                  <c:v>Total water withdrawal from all sites (in cubic metres)</c:v>
                </c:pt>
                <c:pt idx="1">
                  <c:v>Total water discharged (in cubic metres)</c:v>
                </c:pt>
                <c:pt idx="2">
                  <c:v>Total net water consumption (in cubic meters)</c:v>
                </c:pt>
              </c:strCache>
            </c:strRef>
          </c:cat>
          <c:val>
            <c:numRef>
              <c:f>(Metrics!$C$47,Metrics!$C$49,Metrics!$C$52)</c:f>
              <c:numCache>
                <c:formatCode>0.00</c:formatCode>
                <c:ptCount val="3"/>
                <c:pt idx="0">
                  <c:v>250</c:v>
                </c:pt>
                <c:pt idx="1">
                  <c:v>65</c:v>
                </c:pt>
                <c:pt idx="2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E-4762-9046-60D77BC328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4800320"/>
        <c:axId val="384808000"/>
      </c:barChart>
      <c:catAx>
        <c:axId val="3848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8000"/>
        <c:crosses val="autoZero"/>
        <c:auto val="1"/>
        <c:lblAlgn val="ctr"/>
        <c:lblOffset val="100"/>
        <c:noMultiLvlLbl val="0"/>
      </c:catAx>
      <c:valAx>
        <c:axId val="384808000"/>
        <c:scaling>
          <c:orientation val="minMax"/>
          <c:max val="2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Recycled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Inputs!$B$44:$B$46</c:f>
              <c:strCache>
                <c:ptCount val="3"/>
                <c:pt idx="0">
                  <c:v>Municipal Water</c:v>
                </c:pt>
                <c:pt idx="1">
                  <c:v>Groundwater from non-high-water stress areas</c:v>
                </c:pt>
                <c:pt idx="2">
                  <c:v>Water withdrawn from high water-stress areas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895-45A8-99B9-76EC958B16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895-45A8-99B9-76EC958B16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895-45A8-99B9-76EC958B16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Inputs!$B$44:$G$46</c:f>
              <c:multiLvlStrCache>
                <c:ptCount val="3"/>
                <c:lvl>
                  <c:pt idx="0">
                    <c:v>75</c:v>
                  </c:pt>
                  <c:pt idx="1">
                    <c:v>70</c:v>
                  </c:pt>
                  <c:pt idx="2">
                    <c:v>40</c:v>
                  </c:pt>
                </c:lvl>
                <c:lvl>
                  <c:pt idx="0">
                    <c:v>m3</c:v>
                  </c:pt>
                  <c:pt idx="1">
                    <c:v>m3</c:v>
                  </c:pt>
                  <c:pt idx="2">
                    <c:v>m3</c:v>
                  </c:pt>
                </c:lvl>
                <c:lvl>
                  <c:pt idx="0">
                    <c:v>Water</c:v>
                  </c:pt>
                  <c:pt idx="1">
                    <c:v>Water</c:v>
                  </c:pt>
                  <c:pt idx="2">
                    <c:v>Water</c:v>
                  </c:pt>
                </c:lvl>
                <c:lvl>
                  <c:pt idx="0">
                    <c:v>Withdrawal</c:v>
                  </c:pt>
                  <c:pt idx="1">
                    <c:v>Withdrawal</c:v>
                  </c:pt>
                  <c:pt idx="2">
                    <c:v>Withdrawal</c:v>
                  </c:pt>
                </c:lvl>
                <c:lvl>
                  <c:pt idx="0">
                    <c:v>Liquid</c:v>
                  </c:pt>
                  <c:pt idx="1">
                    <c:v>Liquid</c:v>
                  </c:pt>
                  <c:pt idx="2">
                    <c:v>Liquid</c:v>
                  </c:pt>
                </c:lvl>
                <c:lvl>
                  <c:pt idx="0">
                    <c:v>Municipal Water</c:v>
                  </c:pt>
                  <c:pt idx="1">
                    <c:v>Groundwater from non-high-water stress areas</c:v>
                  </c:pt>
                  <c:pt idx="2">
                    <c:v>Water withdrawn from high water-stress areas</c:v>
                  </c:pt>
                </c:lvl>
              </c:multiLvlStrCache>
            </c:multiLvlStrRef>
          </c:cat>
          <c:val>
            <c:numRef>
              <c:f>Inputs!$G$44:$G$46</c:f>
              <c:numCache>
                <c:formatCode>General</c:formatCode>
                <c:ptCount val="3"/>
                <c:pt idx="0">
                  <c:v>75</c:v>
                </c:pt>
                <c:pt idx="1">
                  <c:v>70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F-4068-AA76-9A093CFA749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486231593932116E-2"/>
          <c:y val="0.70730882566059605"/>
          <c:w val="0.88902753681213575"/>
          <c:h val="0.24156642996312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Hazardous Waste 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A862-465F-A59B-FF7E8A359E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A862-465F-A59B-FF7E8A359E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A862-465F-A59B-FF7E8A359E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A862-465F-A59B-FF7E8A359E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Inputs!$B$77:$B$80</c:f>
              <c:strCache>
                <c:ptCount val="4"/>
                <c:pt idx="0">
                  <c:v>PFAS (SVHC) in effluents</c:v>
                </c:pt>
                <c:pt idx="1">
                  <c:v>Solvents used in finishing (Hazardous)</c:v>
                </c:pt>
                <c:pt idx="2">
                  <c:v>Dyestuffs and pigments containing hazardous substances</c:v>
                </c:pt>
                <c:pt idx="3">
                  <c:v>Sludges from on-site treatment (hazardous)</c:v>
                </c:pt>
              </c:strCache>
            </c:strRef>
          </c:cat>
          <c:val>
            <c:numRef>
              <c:f>Inputs!$H$77:$H$80</c:f>
              <c:numCache>
                <c:formatCode>General</c:formatCode>
                <c:ptCount val="4"/>
                <c:pt idx="0">
                  <c:v>5.0000000000000001E-3</c:v>
                </c:pt>
                <c:pt idx="1">
                  <c:v>2.5000000000000001E-2</c:v>
                </c:pt>
                <c:pt idx="2">
                  <c:v>2.5000000000000001E-2</c:v>
                </c:pt>
                <c:pt idx="3">
                  <c:v>2.5000000000000001E-2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2853-4944-92E4-9E08BBF07F6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 rtl="0">
            <a:defRPr sz="900" b="0" i="0" u="none" strike="noStrike" kern="1200" baseline="0">
              <a:ln>
                <a:noFill/>
              </a:ln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Water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77229563042818"/>
          <c:y val="0.22044482780216465"/>
          <c:w val="0.81788578734525141"/>
          <c:h val="0.655971270944711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B6F4E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(Metrics!$B$108,Metrics!$B$112)</c:f>
              <c:strCache>
                <c:ptCount val="2"/>
                <c:pt idx="0">
                  <c:v>Total Water Withdrawl Last Financial Year</c:v>
                </c:pt>
                <c:pt idx="1">
                  <c:v>Change In Freshwater Usage Since Last Financial Year</c:v>
                </c:pt>
              </c:strCache>
            </c:strRef>
          </c:cat>
          <c:val>
            <c:numRef>
              <c:f>(Metrics!$C$108,Metrics!$C$112)</c:f>
              <c:numCache>
                <c:formatCode>0.00</c:formatCode>
                <c:ptCount val="2"/>
                <c:pt idx="0">
                  <c:v>295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1-4AFD-84AE-EEB8632F572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</c:dLbls>
        <c:gapWidth val="150"/>
        <c:axId val="57825712"/>
        <c:axId val="57828592"/>
      </c:barChart>
      <c:catAx>
        <c:axId val="5782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592"/>
        <c:crosses val="autoZero"/>
        <c:auto val="1"/>
        <c:lblAlgn val="ctr"/>
        <c:lblOffset val="100"/>
        <c:noMultiLvlLbl val="0"/>
      </c:catAx>
      <c:valAx>
        <c:axId val="57828592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accent6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Change In Freshwater Usage Since Last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8B6F4E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Metrics!$B$109:$B$111</c:f>
              <c:strCache>
                <c:ptCount val="3"/>
                <c:pt idx="0">
                  <c:v>Groundwater Withdrawal From High Water-stress Areas</c:v>
                </c:pt>
                <c:pt idx="1">
                  <c:v>Municipal Water Used</c:v>
                </c:pt>
                <c:pt idx="2">
                  <c:v>Groundwater Withdrawal From Non-high-water Stress Areas</c:v>
                </c:pt>
              </c:strCache>
            </c:strRef>
          </c:cat>
          <c:val>
            <c:numRef>
              <c:f>Metrics!$C$109:$C$111</c:f>
              <c:numCache>
                <c:formatCode>0.00</c:formatCode>
                <c:ptCount val="3"/>
                <c:pt idx="0">
                  <c:v>0.23076923076923078</c:v>
                </c:pt>
                <c:pt idx="1">
                  <c:v>9.0909090909090912E-2</c:v>
                </c:pt>
                <c:pt idx="2">
                  <c:v>0.16666666666666666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C26-41CC-8725-6CFEAA159E5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97801760"/>
        <c:axId val="197753760"/>
      </c:barChart>
      <c:catAx>
        <c:axId val="19780176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53760"/>
        <c:crosses val="autoZero"/>
        <c:auto val="1"/>
        <c:lblAlgn val="ctr"/>
        <c:lblOffset val="100"/>
        <c:noMultiLvlLbl val="0"/>
      </c:catAx>
      <c:valAx>
        <c:axId val="197753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rgbClr val="2A1F1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rgbClr val="2A1F14"/>
                    </a:solidFill>
                  </a:rPr>
                  <a:t>Reduction in Water usage in cubic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rgbClr val="2A1F1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1F1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ENERGY FOOTPRINT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rPr>
            <a:t>ENERGY FOOTPRINT</a:t>
          </a:r>
        </a:p>
      </cx:txPr>
    </cx:title>
    <cx:plotArea>
      <cx:plotAreaRegion>
        <cx:series layoutId="funnel" uniqueId="{AFBF6F6C-D543-4770-B597-F994AB19CC09}">
          <cx:spPr>
            <a:solidFill>
              <a:schemeClr val="accent6">
                <a:lumMod val="50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spPr>
          <a:ln w="0">
            <a:solidFill>
              <a:srgbClr val="CEC9C5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  <a:solidFill>
                  <a:srgbClr val="2A1F14"/>
                </a:solidFill>
              </a:defRPr>
            </a:pPr>
            <a:endParaRPr lang="en-GB" sz="900" b="0" i="0" u="none" strike="noStrike" kern="1200" baseline="0">
              <a:ln>
                <a:noFill/>
              </a:ln>
              <a:solidFill>
                <a:srgbClr val="2A1F14"/>
              </a:solidFill>
              <a:latin typeface="Calibri"/>
            </a:endParaRPr>
          </a:p>
        </cx:txPr>
      </cx:axis>
    </cx:plotArea>
  </cx:chart>
  <cx:spPr>
    <a:solidFill>
      <a:srgbClr val="EFEAE2"/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Pollution to Air, Water and Soil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rPr>
            <a:t>Pollution to Air, Water and Soil</a:t>
          </a:r>
        </a:p>
      </cx:txPr>
    </cx:title>
    <cx:plotArea>
      <cx:plotAreaRegion>
        <cx:plotSurface>
          <cx:spPr>
            <a:noFill/>
          </cx:spPr>
        </cx:plotSurface>
        <cx:series layoutId="treemap" uniqueId="{1FBEDBE9-C96A-4954-8FAE-36276D063B74}">
          <cx:dataLabels pos="ctr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Water Recycled vs Discharged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cap="all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rPr>
            <a:t>Water Recycled vs Discharged</a:t>
          </a:r>
        </a:p>
      </cx:txPr>
    </cx:title>
    <cx:plotArea>
      <cx:plotAreaRegion>
        <cx:plotSurface>
          <cx:spPr>
            <a:noFill/>
          </cx:spPr>
        </cx:plotSurface>
        <cx:series layoutId="treemap" uniqueId="{0000000C-B825-4F70-B71C-F4EA4D8D4FF7}">
          <cx:spPr>
            <a:ln>
              <a:noFill/>
            </a:ln>
          </cx:spPr>
          <cx:dataPt idx="0">
            <cx:spPr>
              <a:solidFill>
                <a:srgbClr val="2A1F14"/>
              </a:solidFill>
            </cx:spPr>
          </cx:dataPt>
          <cx:dataPt idx="2">
            <cx:spPr>
              <a:solidFill>
                <a:srgbClr val="8B6F4E"/>
              </a:solidFill>
            </cx:spPr>
          </cx:dataPt>
          <cx:dataLabels>
            <cx:visibility seriesName="0" categoryName="1" value="1"/>
            <cx:separator>
</cx:separator>
          </cx:dataLabels>
          <cx:dataId val="0"/>
          <cx:layoutPr/>
        </cx:series>
      </cx:plotAreaRegion>
    </cx:plotArea>
  </cx:chart>
  <cx:spPr>
    <a:noFill/>
    <a:ln>
      <a:noFill/>
    </a:ln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landscape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Non-hazardous Waste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rPr>
            <a:t>Non-hazardous Waste </a:t>
          </a:r>
        </a:p>
      </cx:txPr>
    </cx:title>
    <cx:plotArea>
      <cx:plotAreaRegion>
        <cx:plotSurface>
          <cx:spPr>
            <a:noFill/>
          </cx:spPr>
        </cx:plotSurface>
        <cx:series layoutId="treemap" uniqueId="{00000005-7BB1-4017-8536-950CB5FC7667}" formatIdx="0">
          <cx:tx>
            <cx:txData>
              <cx:f>_xlchart.v1.7</cx:f>
              <cx:v>RECYCLED / REUSED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spPr>
        <a:noFill/>
        <a:ln>
          <a:noFill/>
        </a:ln>
      </cx:sp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220980</xdr:rowOff>
    </xdr:from>
    <xdr:to>
      <xdr:col>6</xdr:col>
      <xdr:colOff>1440180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1482F-EF97-4974-B500-CEFBB39C8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3</xdr:row>
      <xdr:rowOff>0</xdr:rowOff>
    </xdr:from>
    <xdr:to>
      <xdr:col>10</xdr:col>
      <xdr:colOff>0</xdr:colOff>
      <xdr:row>16</xdr:row>
      <xdr:rowOff>259080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FB07DE-9739-4FE5-B2CD-900FFA093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22860</xdr:colOff>
      <xdr:row>7</xdr:row>
      <xdr:rowOff>228600</xdr:rowOff>
    </xdr:from>
    <xdr:to>
      <xdr:col>3</xdr:col>
      <xdr:colOff>1135380</xdr:colOff>
      <xdr:row>19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E8DF72-12C6-499E-9792-A328A5AD3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1188720</xdr:colOff>
      <xdr:row>7</xdr:row>
      <xdr:rowOff>236220</xdr:rowOff>
    </xdr:from>
    <xdr:to>
      <xdr:col>5</xdr:col>
      <xdr:colOff>563880</xdr:colOff>
      <xdr:row>19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440257-7C24-4BF2-B9B3-1C45BA745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594360</xdr:colOff>
      <xdr:row>7</xdr:row>
      <xdr:rowOff>243840</xdr:rowOff>
    </xdr:from>
    <xdr:to>
      <xdr:col>6</xdr:col>
      <xdr:colOff>1645920</xdr:colOff>
      <xdr:row>19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9BF1A2-E06F-4DE9-AF7A-6CD5B4FA2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45720</xdr:rowOff>
    </xdr:from>
    <xdr:to>
      <xdr:col>6</xdr:col>
      <xdr:colOff>1440180</xdr:colOff>
      <xdr:row>19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BA65F-22D3-C6DD-7A94-ECAFF0474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3</xdr:row>
      <xdr:rowOff>0</xdr:rowOff>
    </xdr:from>
    <xdr:to>
      <xdr:col>10</xdr:col>
      <xdr:colOff>0</xdr:colOff>
      <xdr:row>16</xdr:row>
      <xdr:rowOff>259080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7C679A-DE4F-8295-B952-D64B48249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30480</xdr:colOff>
      <xdr:row>8</xdr:row>
      <xdr:rowOff>0</xdr:rowOff>
    </xdr:from>
    <xdr:to>
      <xdr:col>4</xdr:col>
      <xdr:colOff>1280160</xdr:colOff>
      <xdr:row>19</xdr:row>
      <xdr:rowOff>83820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24A9DE0-CA73-468B-8D8F-CBAE6B43530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880" y="1905000"/>
              <a:ext cx="4602480" cy="3017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7</xdr:row>
      <xdr:rowOff>228600</xdr:rowOff>
    </xdr:from>
    <xdr:to>
      <xdr:col>6</xdr:col>
      <xdr:colOff>1440180</xdr:colOff>
      <xdr:row>18</xdr:row>
      <xdr:rowOff>259080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26F3A-E058-471C-9C02-E424EFD9C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3</xdr:row>
      <xdr:rowOff>0</xdr:rowOff>
    </xdr:from>
    <xdr:to>
      <xdr:col>10</xdr:col>
      <xdr:colOff>0</xdr:colOff>
      <xdr:row>16</xdr:row>
      <xdr:rowOff>259080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047610-F273-4ADC-B4AF-E1CD2078D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</xdr:colOff>
      <xdr:row>8</xdr:row>
      <xdr:rowOff>0</xdr:rowOff>
    </xdr:from>
    <xdr:to>
      <xdr:col>4</xdr:col>
      <xdr:colOff>1554480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362AAE-9481-4501-B6D1-C4EA800B6B8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020" y="1905000"/>
              <a:ext cx="4899660" cy="293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8</xdr:row>
      <xdr:rowOff>45720</xdr:rowOff>
    </xdr:from>
    <xdr:to>
      <xdr:col>6</xdr:col>
      <xdr:colOff>1440180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6E98DB-6311-4D24-9386-17C27F78D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3</xdr:row>
      <xdr:rowOff>0</xdr:rowOff>
    </xdr:from>
    <xdr:to>
      <xdr:col>10</xdr:col>
      <xdr:colOff>0</xdr:colOff>
      <xdr:row>16</xdr:row>
      <xdr:rowOff>259080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445BF-9339-46ED-818E-43B659527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15240</xdr:colOff>
      <xdr:row>7</xdr:row>
      <xdr:rowOff>259080</xdr:rowOff>
    </xdr:from>
    <xdr:to>
      <xdr:col>4</xdr:col>
      <xdr:colOff>1554480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43C50D8-5133-49F9-BC3E-0B37420D443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" y="1897380"/>
              <a:ext cx="4892040" cy="2941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3</xdr:row>
      <xdr:rowOff>0</xdr:rowOff>
    </xdr:from>
    <xdr:to>
      <xdr:col>10</xdr:col>
      <xdr:colOff>0</xdr:colOff>
      <xdr:row>16</xdr:row>
      <xdr:rowOff>259080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698B54-906D-4E61-8E8D-935AC6466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22860</xdr:colOff>
      <xdr:row>8</xdr:row>
      <xdr:rowOff>29592</xdr:rowOff>
    </xdr:from>
    <xdr:to>
      <xdr:col>6</xdr:col>
      <xdr:colOff>1615440</xdr:colOff>
      <xdr:row>19</xdr:row>
      <xdr:rowOff>7621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590A83A-5F46-4592-BEAF-1225ED3F642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260" y="1934592"/>
              <a:ext cx="8298180" cy="29117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3</xdr:row>
      <xdr:rowOff>114300</xdr:rowOff>
    </xdr:from>
    <xdr:to>
      <xdr:col>9</xdr:col>
      <xdr:colOff>502920</xdr:colOff>
      <xdr:row>16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676915-E5C7-406D-B3D3-86D949815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</xdr:colOff>
      <xdr:row>8</xdr:row>
      <xdr:rowOff>22860</xdr:rowOff>
    </xdr:from>
    <xdr:to>
      <xdr:col>4</xdr:col>
      <xdr:colOff>1615440</xdr:colOff>
      <xdr:row>18</xdr:row>
      <xdr:rowOff>255270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FD8B3C-6F65-253E-E118-07D7E34A4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917BE2-8772-4845-B5C3-01A1E1AC86A2}" name="PolicyCheck" displayName="PolicyCheck" ref="B102:C105" totalsRowShown="0" headerRowDxfId="20" dataDxfId="19">
  <autoFilter ref="B102:C105" xr:uid="{FF917BE2-8772-4845-B5C3-01A1E1AC86A2}"/>
  <tableColumns count="2">
    <tableColumn id="1" xr3:uid="{CE37A1EE-EF13-4380-9C58-1B1B88B9414E}" name="POLICY CHECK " dataDxfId="1"/>
    <tableColumn id="2" xr3:uid="{BC000F1C-674B-4FE1-856C-2E9E52D94CC5}" name="YES/N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6C464-90C5-461B-B006-472090DC014D}" name="tblConversions" displayName="tblConversions" ref="A1:I59" totalsRowShown="0" headerRowDxfId="18" dataDxfId="16" headerRowBorderDxfId="17" tableBorderDxfId="15" totalsRowBorderDxfId="14">
  <autoFilter ref="A1:I59" xr:uid="{29D6C464-90C5-461B-B006-472090DC014D}"/>
  <tableColumns count="9">
    <tableColumn id="1" xr3:uid="{4536CD4A-4A74-46CC-8975-C1374879A67A}" name="Item" dataDxfId="13"/>
    <tableColumn id="9" xr3:uid="{EA77AFA7-0462-4C22-B623-26E2B99E95AB}" name="State" dataDxfId="12"/>
    <tableColumn id="6" xr3:uid="{0044BB9D-1A85-4F42-BD79-5BD324985C32}" name="Type" dataDxfId="11"/>
    <tableColumn id="2" xr3:uid="{6C15D672-93CC-462E-BF41-5380F88188FC}" name="Unit" dataDxfId="10"/>
    <tableColumn id="7" xr3:uid="{F905B73C-C20D-4907-BBB4-FB405087D1D9}" name="Category" dataDxfId="9"/>
    <tableColumn id="3" xr3:uid="{8C6C3C7E-E32B-497A-9D13-344F8B1C5337}" name="Multiplier" dataDxfId="8"/>
    <tableColumn id="4" xr3:uid="{08A2A6E0-D680-4E8A-A025-450C54F57263}" name="GHG Factor (t CO2e per Unit)" dataDxfId="7"/>
    <tableColumn id="5" xr3:uid="{BE9A82E6-2A66-471B-885A-E31310AAB21B}" name="Remarks" dataDxfId="6"/>
    <tableColumn id="8" xr3:uid="{A00BCF23-9FD7-40B6-8ECD-BCCC7AF684F7}" name="Source2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2E12-13FC-4329-A802-1FB86080E710}">
  <sheetPr codeName="Sheet1">
    <pageSetUpPr fitToPage="1"/>
  </sheetPr>
  <dimension ref="A1:K21"/>
  <sheetViews>
    <sheetView workbookViewId="0">
      <selection activeCell="F5" sqref="F5"/>
    </sheetView>
  </sheetViews>
  <sheetFormatPr defaultColWidth="0" defaultRowHeight="21" customHeight="1" zeroHeight="1" x14ac:dyDescent="0.3"/>
  <cols>
    <col min="1" max="2" width="3.88671875" style="1" customWidth="1"/>
    <col min="3" max="8" width="24.44140625" style="1" customWidth="1"/>
    <col min="9" max="9" width="21.109375" style="1" customWidth="1"/>
    <col min="10" max="10" width="8" style="1" customWidth="1"/>
    <col min="11" max="11" width="3.88671875" style="1" customWidth="1"/>
    <col min="12" max="16384" width="24.44140625" style="1" hidden="1"/>
  </cols>
  <sheetData>
    <row r="1" spans="1:11" ht="12" customHeight="1" x14ac:dyDescent="0.5">
      <c r="A1" s="30"/>
      <c r="I1" s="3"/>
    </row>
    <row r="2" spans="1:11" ht="21" customHeight="1" x14ac:dyDescent="0.4">
      <c r="C2" s="25" t="s">
        <v>466</v>
      </c>
      <c r="I2" s="2"/>
    </row>
    <row r="3" spans="1:11" ht="12" customHeight="1" thickBot="1" x14ac:dyDescent="0.35">
      <c r="I3" s="38"/>
      <c r="J3" s="39"/>
    </row>
    <row r="4" spans="1:11" s="4" customFormat="1" ht="21" customHeight="1" thickBot="1" x14ac:dyDescent="0.45">
      <c r="B4" s="31" t="s">
        <v>342</v>
      </c>
      <c r="C4" s="24" t="s">
        <v>334</v>
      </c>
      <c r="D4" s="28" t="s">
        <v>335</v>
      </c>
      <c r="E4" s="42" t="s">
        <v>336</v>
      </c>
      <c r="F4" s="42" t="s">
        <v>338</v>
      </c>
      <c r="G4" s="43" t="s">
        <v>337</v>
      </c>
      <c r="H4" s="107"/>
      <c r="I4" s="108"/>
      <c r="J4" s="21"/>
    </row>
    <row r="5" spans="1:11" ht="21" customHeight="1" thickBot="1" x14ac:dyDescent="0.35">
      <c r="C5" s="5"/>
      <c r="D5" s="6"/>
      <c r="E5" s="6"/>
      <c r="F5" s="6"/>
      <c r="G5" s="6"/>
      <c r="H5" s="109"/>
      <c r="I5" s="110"/>
      <c r="J5" s="8"/>
    </row>
    <row r="6" spans="1:11" ht="21" customHeight="1" thickBot="1" x14ac:dyDescent="0.35">
      <c r="C6" s="56">
        <f>Metrics!C15</f>
        <v>928.7774999999998</v>
      </c>
      <c r="D6" s="54" t="str">
        <f>Waste_Materials!$H$19</f>
        <v>7.5:5.1</v>
      </c>
      <c r="E6" s="14" t="str">
        <f>Water!$C$6</f>
        <v>185 m3</v>
      </c>
      <c r="F6" s="18">
        <f>Biodiversity!F6</f>
        <v>0.8928571428571429</v>
      </c>
      <c r="G6" s="19" t="str">
        <f>Waste_Materials!$D$6</f>
        <v>0.08 MT</v>
      </c>
      <c r="H6" s="109"/>
      <c r="I6" s="110"/>
      <c r="J6" s="8"/>
    </row>
    <row r="7" spans="1:11" s="12" customFormat="1" ht="21" customHeight="1" thickBot="1" x14ac:dyDescent="0.3">
      <c r="C7" s="17" t="s">
        <v>453</v>
      </c>
      <c r="D7" s="55" t="s">
        <v>454</v>
      </c>
      <c r="E7" s="17" t="s">
        <v>455</v>
      </c>
      <c r="F7" s="17" t="s">
        <v>422</v>
      </c>
      <c r="G7" s="20" t="s">
        <v>369</v>
      </c>
      <c r="H7" s="109"/>
      <c r="I7" s="110"/>
      <c r="J7" s="13"/>
    </row>
    <row r="8" spans="1:11" s="15" customFormat="1" ht="21" customHeight="1" x14ac:dyDescent="0.3">
      <c r="B8" s="16"/>
      <c r="H8" s="109"/>
      <c r="I8" s="110"/>
      <c r="J8" s="16"/>
    </row>
    <row r="9" spans="1:11" ht="21" customHeight="1" x14ac:dyDescent="0.3">
      <c r="B9" s="8"/>
      <c r="E9" s="111"/>
      <c r="F9" s="111"/>
      <c r="H9" s="109"/>
      <c r="I9" s="110"/>
      <c r="J9" s="8"/>
      <c r="K9" s="32"/>
    </row>
    <row r="10" spans="1:11" ht="21" customHeight="1" x14ac:dyDescent="0.3">
      <c r="C10" s="7"/>
      <c r="E10" s="50"/>
      <c r="F10" s="50"/>
      <c r="H10" s="109"/>
      <c r="I10" s="110"/>
      <c r="J10" s="8"/>
    </row>
    <row r="11" spans="1:11" ht="21" customHeight="1" x14ac:dyDescent="0.3">
      <c r="C11" s="7"/>
      <c r="E11" s="51"/>
      <c r="F11" s="52"/>
      <c r="H11" s="109"/>
      <c r="I11" s="110"/>
      <c r="J11" s="8"/>
    </row>
    <row r="12" spans="1:11" ht="21" customHeight="1" x14ac:dyDescent="0.3">
      <c r="C12" s="7"/>
      <c r="H12" s="109"/>
      <c r="I12" s="110"/>
      <c r="J12" s="8"/>
    </row>
    <row r="13" spans="1:11" ht="21" customHeight="1" x14ac:dyDescent="0.3">
      <c r="C13" s="7"/>
      <c r="H13" s="7"/>
      <c r="J13" s="8"/>
    </row>
    <row r="14" spans="1:11" ht="21" customHeight="1" x14ac:dyDescent="0.3">
      <c r="C14" s="7"/>
      <c r="H14" s="7"/>
      <c r="J14" s="8"/>
    </row>
    <row r="15" spans="1:11" ht="21" customHeight="1" x14ac:dyDescent="0.3">
      <c r="C15" s="7"/>
      <c r="H15" s="7"/>
      <c r="J15" s="8"/>
    </row>
    <row r="16" spans="1:11" ht="21" customHeight="1" x14ac:dyDescent="0.3">
      <c r="C16" s="7"/>
      <c r="H16" s="7"/>
      <c r="J16" s="8"/>
    </row>
    <row r="17" spans="3:10" ht="21" customHeight="1" thickBot="1" x14ac:dyDescent="0.35">
      <c r="C17" s="7"/>
      <c r="H17" s="7"/>
      <c r="J17" s="8"/>
    </row>
    <row r="18" spans="3:10" ht="21" customHeight="1" thickBot="1" x14ac:dyDescent="0.35">
      <c r="C18" s="7"/>
      <c r="H18" s="101" t="str">
        <f>Water!$H$18</f>
        <v>Anticipated effect from water &amp; marine resources</v>
      </c>
      <c r="I18" s="102"/>
      <c r="J18" s="103"/>
    </row>
    <row r="19" spans="3:10" ht="21" customHeight="1" thickBot="1" x14ac:dyDescent="0.35">
      <c r="C19" s="7"/>
      <c r="H19" s="104">
        <f>Water!$H$19</f>
        <v>100000</v>
      </c>
      <c r="I19" s="105"/>
      <c r="J19" s="106"/>
    </row>
    <row r="20" spans="3:10" ht="12" customHeight="1" thickBot="1" x14ac:dyDescent="0.35">
      <c r="C20" s="9"/>
      <c r="D20" s="10"/>
      <c r="E20" s="10"/>
      <c r="F20" s="10"/>
      <c r="G20" s="10"/>
      <c r="H20" s="9"/>
      <c r="I20" s="10"/>
      <c r="J20" s="11"/>
    </row>
    <row r="21" spans="3:10" ht="21" customHeight="1" x14ac:dyDescent="0.3"/>
  </sheetData>
  <mergeCells count="4">
    <mergeCell ref="H18:J18"/>
    <mergeCell ref="H19:J19"/>
    <mergeCell ref="H4:I12"/>
    <mergeCell ref="E9:F9"/>
  </mergeCells>
  <hyperlinks>
    <hyperlink ref="C4" location="Energy!A1" display="⚡ Energy" xr:uid="{B48D8830-6369-4B5F-A2D1-27CE36C95C8F}"/>
    <hyperlink ref="D4" location="Carbon!A1" display="🌱Carbon Footprint" xr:uid="{6C08E963-758F-49FF-B617-4E7D1C6A3B7D}"/>
    <hyperlink ref="B4" location="Home!A1" display="∷" xr:uid="{E4347A81-D79D-4F30-8EFC-2614BAE22D50}"/>
    <hyperlink ref="F4" location="Waste_Materials!A1" display="🗑️ Waste &amp; Materials" xr:uid="{5A2F11CD-ED58-438D-9729-110F639CADEC}"/>
    <hyperlink ref="E4" location="Water!A1" display="💧Water" xr:uid="{F589AA69-919C-4CF5-8ACA-BE3583124231}"/>
    <hyperlink ref="G4" location="Biodiversity!A1" display="🌏 Biodiversity " xr:uid="{494A8235-58CF-4F54-94ED-4D8E09F91ACC}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705C-7693-4F71-9C52-188B4AA888D1}">
  <sheetPr codeName="Sheet2">
    <pageSetUpPr fitToPage="1"/>
  </sheetPr>
  <dimension ref="A1:K21"/>
  <sheetViews>
    <sheetView workbookViewId="0">
      <selection activeCell="D4" sqref="D4"/>
    </sheetView>
  </sheetViews>
  <sheetFormatPr defaultColWidth="0" defaultRowHeight="21" customHeight="1" zeroHeight="1" x14ac:dyDescent="0.3"/>
  <cols>
    <col min="1" max="2" width="3.88671875" style="1" customWidth="1"/>
    <col min="3" max="8" width="24.44140625" style="1" customWidth="1"/>
    <col min="9" max="9" width="21.109375" style="1" customWidth="1"/>
    <col min="10" max="10" width="8" style="1" customWidth="1"/>
    <col min="11" max="11" width="3.88671875" style="1" customWidth="1"/>
    <col min="12" max="16384" width="24.44140625" style="1" hidden="1"/>
  </cols>
  <sheetData>
    <row r="1" spans="2:10" ht="12" customHeight="1" x14ac:dyDescent="0.3">
      <c r="I1" s="3"/>
    </row>
    <row r="2" spans="2:10" s="32" customFormat="1" ht="21" customHeight="1" x14ac:dyDescent="0.4">
      <c r="C2" s="25" t="s">
        <v>466</v>
      </c>
      <c r="I2" s="33"/>
    </row>
    <row r="3" spans="2:10" ht="12" customHeight="1" thickBot="1" x14ac:dyDescent="0.35">
      <c r="I3" s="38"/>
      <c r="J3" s="39"/>
    </row>
    <row r="4" spans="2:10" s="4" customFormat="1" ht="21" customHeight="1" thickBot="1" x14ac:dyDescent="0.45">
      <c r="B4" s="31" t="s">
        <v>342</v>
      </c>
      <c r="C4" s="23" t="s">
        <v>334</v>
      </c>
      <c r="D4" s="28" t="s">
        <v>335</v>
      </c>
      <c r="E4" s="42" t="s">
        <v>336</v>
      </c>
      <c r="F4" s="42" t="s">
        <v>338</v>
      </c>
      <c r="G4" s="43" t="s">
        <v>337</v>
      </c>
      <c r="H4" s="107"/>
      <c r="I4" s="108"/>
      <c r="J4" s="21"/>
    </row>
    <row r="5" spans="2:10" ht="21" customHeight="1" thickBot="1" x14ac:dyDescent="0.5">
      <c r="C5" s="29"/>
      <c r="D5" s="6"/>
      <c r="E5" s="6"/>
      <c r="F5" s="6"/>
      <c r="G5" s="6"/>
      <c r="H5" s="109"/>
      <c r="I5" s="110"/>
      <c r="J5" s="8"/>
    </row>
    <row r="6" spans="2:10" ht="21" customHeight="1" thickBot="1" x14ac:dyDescent="0.35">
      <c r="C6" s="116">
        <f>Metrics!C8</f>
        <v>5000000</v>
      </c>
      <c r="D6" s="117"/>
      <c r="E6" s="14">
        <f>Metrics!C14</f>
        <v>4643.8874999999989</v>
      </c>
      <c r="F6" s="18">
        <f>Metrics!C43</f>
        <v>0.5</v>
      </c>
      <c r="G6" s="19">
        <v>0.17</v>
      </c>
      <c r="H6" s="109"/>
      <c r="I6" s="110"/>
      <c r="J6" s="8"/>
    </row>
    <row r="7" spans="2:10" s="12" customFormat="1" ht="21" customHeight="1" thickBot="1" x14ac:dyDescent="0.3">
      <c r="C7" s="115" t="s">
        <v>339</v>
      </c>
      <c r="D7" s="115"/>
      <c r="E7" s="17" t="s">
        <v>340</v>
      </c>
      <c r="F7" s="17" t="s">
        <v>365</v>
      </c>
      <c r="G7" s="20" t="s">
        <v>366</v>
      </c>
      <c r="H7" s="109"/>
      <c r="I7" s="110"/>
      <c r="J7" s="13"/>
    </row>
    <row r="8" spans="2:10" s="15" customFormat="1" ht="21" customHeight="1" x14ac:dyDescent="0.3">
      <c r="B8" s="53"/>
      <c r="H8" s="109"/>
      <c r="I8" s="110"/>
      <c r="J8" s="16"/>
    </row>
    <row r="9" spans="2:10" ht="21" customHeight="1" x14ac:dyDescent="0.3">
      <c r="B9" s="8"/>
      <c r="E9" s="111"/>
      <c r="F9" s="111"/>
      <c r="H9" s="109"/>
      <c r="I9" s="110"/>
      <c r="J9" s="8"/>
    </row>
    <row r="10" spans="2:10" ht="21" customHeight="1" x14ac:dyDescent="0.3">
      <c r="C10" s="7"/>
      <c r="E10" s="50"/>
      <c r="F10" s="50"/>
      <c r="H10" s="109"/>
      <c r="I10" s="110"/>
      <c r="J10" s="8"/>
    </row>
    <row r="11" spans="2:10" ht="21" customHeight="1" x14ac:dyDescent="0.3">
      <c r="C11" s="7"/>
      <c r="E11" s="51"/>
      <c r="F11" s="52"/>
      <c r="H11" s="109"/>
      <c r="I11" s="110"/>
      <c r="J11" s="8"/>
    </row>
    <row r="12" spans="2:10" ht="21" customHeight="1" x14ac:dyDescent="0.3">
      <c r="C12" s="7"/>
      <c r="H12" s="109"/>
      <c r="I12" s="110"/>
      <c r="J12" s="8"/>
    </row>
    <row r="13" spans="2:10" ht="21" customHeight="1" x14ac:dyDescent="0.3">
      <c r="C13" s="7"/>
      <c r="H13" s="7"/>
      <c r="J13" s="8"/>
    </row>
    <row r="14" spans="2:10" ht="21" customHeight="1" x14ac:dyDescent="0.3">
      <c r="C14" s="7"/>
      <c r="H14" s="7"/>
      <c r="J14" s="8"/>
    </row>
    <row r="15" spans="2:10" ht="21" customHeight="1" x14ac:dyDescent="0.3">
      <c r="C15" s="7"/>
      <c r="H15" s="7"/>
      <c r="J15" s="8"/>
    </row>
    <row r="16" spans="2:10" ht="21" customHeight="1" x14ac:dyDescent="0.3">
      <c r="C16" s="7"/>
      <c r="H16" s="7"/>
      <c r="J16" s="8"/>
    </row>
    <row r="17" spans="3:10" ht="21" customHeight="1" thickBot="1" x14ac:dyDescent="0.35">
      <c r="C17" s="7"/>
      <c r="H17" s="7"/>
      <c r="J17" s="8"/>
    </row>
    <row r="18" spans="3:10" ht="21" customHeight="1" thickBot="1" x14ac:dyDescent="0.35">
      <c r="C18" s="7"/>
      <c r="H18" s="101" t="s">
        <v>66</v>
      </c>
      <c r="I18" s="102"/>
      <c r="J18" s="103"/>
    </row>
    <row r="19" spans="3:10" ht="21" customHeight="1" thickBot="1" x14ac:dyDescent="0.35">
      <c r="C19" s="7"/>
      <c r="H19" s="112">
        <f>Metrics!C15</f>
        <v>928.7774999999998</v>
      </c>
      <c r="I19" s="113"/>
      <c r="J19" s="114"/>
    </row>
    <row r="20" spans="3:10" ht="12" customHeight="1" thickBot="1" x14ac:dyDescent="0.35">
      <c r="C20" s="9"/>
      <c r="D20" s="10"/>
      <c r="E20" s="10"/>
      <c r="F20" s="10"/>
      <c r="G20" s="10"/>
      <c r="H20" s="9"/>
      <c r="I20" s="10"/>
      <c r="J20" s="11"/>
    </row>
    <row r="21" spans="3:10" ht="21" customHeight="1" x14ac:dyDescent="0.3"/>
  </sheetData>
  <mergeCells count="6">
    <mergeCell ref="H18:J18"/>
    <mergeCell ref="H19:J19"/>
    <mergeCell ref="C7:D7"/>
    <mergeCell ref="E9:F9"/>
    <mergeCell ref="H4:I12"/>
    <mergeCell ref="C6:D6"/>
  </mergeCells>
  <hyperlinks>
    <hyperlink ref="C4" location="Energy!A1" display="⚡ Energy" xr:uid="{7748D1E3-64B7-415D-B791-DC1D3159CB91}"/>
    <hyperlink ref="D4" location="Carbon!A1" display="🌱Carbon Footprint" xr:uid="{9AECDC2E-13FB-4541-BDAE-471FCD7331F6}"/>
    <hyperlink ref="B4" location="Home!A1" display="∷" xr:uid="{F3DE1E6B-218B-40BE-8DAD-64862571B598}"/>
    <hyperlink ref="F4" location="Waste_Materials!A1" display="🗑️ Waste &amp; Materials" xr:uid="{10351D66-73DE-4E07-8706-BF55AF464521}"/>
    <hyperlink ref="E4" location="Water!A1" display="💧Water" xr:uid="{D0B688FC-B3E6-4D4D-AB1D-B18E8914149A}"/>
    <hyperlink ref="G4" location="Biodiversity!A1" display="🌏 Biodiversity " xr:uid="{7CBAA670-E60E-4634-B42C-95370E59756D}"/>
  </hyperlinks>
  <pageMargins left="1.4173228346456694" right="1.0236220472440944" top="1.0236220472440944" bottom="1.0236220472440944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8485-981F-4917-AFA5-3898B1E47561}">
  <sheetPr codeName="Sheet3">
    <pageSetUpPr fitToPage="1"/>
  </sheetPr>
  <dimension ref="A1:K21"/>
  <sheetViews>
    <sheetView workbookViewId="0">
      <selection activeCell="E4" sqref="E4"/>
    </sheetView>
  </sheetViews>
  <sheetFormatPr defaultColWidth="0" defaultRowHeight="21" customHeight="1" zeroHeight="1" x14ac:dyDescent="0.3"/>
  <cols>
    <col min="1" max="2" width="3.88671875" style="1" customWidth="1"/>
    <col min="3" max="8" width="24.44140625" style="1" customWidth="1"/>
    <col min="9" max="9" width="21.109375" style="1" customWidth="1"/>
    <col min="10" max="10" width="8" style="1" customWidth="1"/>
    <col min="11" max="11" width="3.88671875" style="1" customWidth="1"/>
    <col min="12" max="16384" width="24.44140625" style="1" hidden="1"/>
  </cols>
  <sheetData>
    <row r="1" spans="2:10" ht="12" customHeight="1" x14ac:dyDescent="0.3">
      <c r="I1" s="3"/>
    </row>
    <row r="2" spans="2:10" s="32" customFormat="1" ht="21" customHeight="1" x14ac:dyDescent="0.4">
      <c r="C2" s="25" t="s">
        <v>466</v>
      </c>
      <c r="I2" s="33"/>
    </row>
    <row r="3" spans="2:10" ht="12" customHeight="1" thickBot="1" x14ac:dyDescent="0.35">
      <c r="I3" s="38"/>
      <c r="J3" s="39"/>
    </row>
    <row r="4" spans="2:10" s="4" customFormat="1" ht="21" customHeight="1" thickBot="1" x14ac:dyDescent="0.45">
      <c r="B4" s="31" t="s">
        <v>342</v>
      </c>
      <c r="C4" s="24" t="s">
        <v>334</v>
      </c>
      <c r="D4" s="26" t="s">
        <v>335</v>
      </c>
      <c r="E4" s="42" t="s">
        <v>336</v>
      </c>
      <c r="F4" s="42" t="s">
        <v>338</v>
      </c>
      <c r="G4" s="43" t="s">
        <v>337</v>
      </c>
      <c r="H4" s="107"/>
      <c r="I4" s="108"/>
      <c r="J4" s="21"/>
    </row>
    <row r="5" spans="2:10" ht="21" customHeight="1" thickBot="1" x14ac:dyDescent="0.35">
      <c r="C5" s="5"/>
      <c r="D5" s="6"/>
      <c r="E5" s="6"/>
      <c r="F5" s="6"/>
      <c r="G5" s="6"/>
      <c r="H5" s="109"/>
      <c r="I5" s="110"/>
      <c r="J5" s="8"/>
    </row>
    <row r="6" spans="2:10" ht="21" customHeight="1" thickBot="1" x14ac:dyDescent="0.35">
      <c r="C6" s="120">
        <f>Metrics!C30</f>
        <v>10.120025357516001</v>
      </c>
      <c r="D6" s="121"/>
      <c r="E6" s="14">
        <f>Metrics!C29</f>
        <v>50.600126787580002</v>
      </c>
      <c r="F6" s="18">
        <f>Metrics!C40</f>
        <v>0.1</v>
      </c>
      <c r="G6" s="27">
        <f>Metrics!C42</f>
        <v>100000</v>
      </c>
      <c r="H6" s="109"/>
      <c r="I6" s="110"/>
      <c r="J6" s="8"/>
    </row>
    <row r="7" spans="2:10" s="12" customFormat="1" ht="21" customHeight="1" thickBot="1" x14ac:dyDescent="0.3">
      <c r="C7" s="115" t="s">
        <v>347</v>
      </c>
      <c r="D7" s="115"/>
      <c r="E7" s="17" t="s">
        <v>354</v>
      </c>
      <c r="F7" s="17" t="s">
        <v>348</v>
      </c>
      <c r="G7" s="20" t="s">
        <v>349</v>
      </c>
      <c r="H7" s="109"/>
      <c r="I7" s="110"/>
      <c r="J7" s="13"/>
    </row>
    <row r="8" spans="2:10" s="15" customFormat="1" ht="21" customHeight="1" x14ac:dyDescent="0.3">
      <c r="B8" s="16"/>
      <c r="H8" s="109"/>
      <c r="I8" s="110"/>
      <c r="J8" s="16"/>
    </row>
    <row r="9" spans="2:10" ht="21" customHeight="1" x14ac:dyDescent="0.3">
      <c r="B9" s="8"/>
      <c r="E9" s="111"/>
      <c r="F9" s="111"/>
      <c r="H9" s="109"/>
      <c r="I9" s="110"/>
      <c r="J9" s="8"/>
    </row>
    <row r="10" spans="2:10" ht="21" customHeight="1" x14ac:dyDescent="0.3">
      <c r="C10" s="7"/>
      <c r="E10" s="111"/>
      <c r="F10" s="111"/>
      <c r="H10" s="109"/>
      <c r="I10" s="110"/>
      <c r="J10" s="8"/>
    </row>
    <row r="11" spans="2:10" ht="21" customHeight="1" x14ac:dyDescent="0.3">
      <c r="C11" s="7"/>
      <c r="E11" s="118"/>
      <c r="F11" s="119"/>
      <c r="H11" s="109"/>
      <c r="I11" s="110"/>
      <c r="J11" s="8"/>
    </row>
    <row r="12" spans="2:10" ht="21" customHeight="1" x14ac:dyDescent="0.3">
      <c r="C12" s="7"/>
      <c r="H12" s="109"/>
      <c r="I12" s="110"/>
      <c r="J12" s="8"/>
    </row>
    <row r="13" spans="2:10" ht="21" customHeight="1" x14ac:dyDescent="0.3">
      <c r="C13" s="7"/>
      <c r="H13" s="7"/>
      <c r="J13" s="8"/>
    </row>
    <row r="14" spans="2:10" ht="21" customHeight="1" x14ac:dyDescent="0.3">
      <c r="C14" s="7"/>
      <c r="H14" s="7"/>
      <c r="J14" s="8"/>
    </row>
    <row r="15" spans="2:10" ht="21" customHeight="1" x14ac:dyDescent="0.3">
      <c r="C15" s="7"/>
      <c r="H15" s="7"/>
      <c r="J15" s="8"/>
    </row>
    <row r="16" spans="2:10" ht="21" customHeight="1" x14ac:dyDescent="0.3">
      <c r="C16" s="7"/>
      <c r="H16" s="7"/>
      <c r="J16" s="8"/>
    </row>
    <row r="17" spans="3:10" ht="21" customHeight="1" thickBot="1" x14ac:dyDescent="0.35">
      <c r="C17" s="7"/>
      <c r="H17" s="7"/>
      <c r="J17" s="8"/>
    </row>
    <row r="18" spans="3:10" ht="21" customHeight="1" thickBot="1" x14ac:dyDescent="0.35">
      <c r="C18" s="7"/>
      <c r="H18" s="101" t="str">
        <f>Metrics!B41</f>
        <v>Financial effects from climate risks (in $US)</v>
      </c>
      <c r="I18" s="102"/>
      <c r="J18" s="103"/>
    </row>
    <row r="19" spans="3:10" ht="21" customHeight="1" thickBot="1" x14ac:dyDescent="0.35">
      <c r="C19" s="7"/>
      <c r="H19" s="112">
        <f>Metrics!C41</f>
        <v>250000</v>
      </c>
      <c r="I19" s="113"/>
      <c r="J19" s="114"/>
    </row>
    <row r="20" spans="3:10" ht="12" customHeight="1" thickBot="1" x14ac:dyDescent="0.35">
      <c r="C20" s="9"/>
      <c r="D20" s="10"/>
      <c r="E20" s="10"/>
      <c r="F20" s="10"/>
      <c r="G20" s="10"/>
      <c r="H20" s="9"/>
      <c r="I20" s="10"/>
      <c r="J20" s="11"/>
    </row>
    <row r="21" spans="3:10" ht="21" customHeight="1" x14ac:dyDescent="0.3"/>
  </sheetData>
  <mergeCells count="8">
    <mergeCell ref="H18:J18"/>
    <mergeCell ref="H19:J19"/>
    <mergeCell ref="H4:I12"/>
    <mergeCell ref="C7:D7"/>
    <mergeCell ref="E9:F9"/>
    <mergeCell ref="E10:F10"/>
    <mergeCell ref="E11:F11"/>
    <mergeCell ref="C6:D6"/>
  </mergeCells>
  <hyperlinks>
    <hyperlink ref="D4" location="Carbon!A1" display="🌱Carbon Footprint" xr:uid="{512FF0A6-2E2D-4376-A001-05E466EFFFF0}"/>
    <hyperlink ref="C4" location="Energy!A1" display="⚡ Energy" xr:uid="{A5C6C58C-8BD4-4E60-8CA4-C44A69745F22}"/>
    <hyperlink ref="B4" location="Home!A1" display="∷" xr:uid="{C5E92C46-7F3C-4F32-A8EC-6D36948F2286}"/>
    <hyperlink ref="F4" location="Waste_Materials!A1" display="🗑️ Waste &amp; Materials" xr:uid="{78ACC533-267C-404A-96E6-50AEDD25EA51}"/>
    <hyperlink ref="E4" location="Water!A1" display="💧Water" xr:uid="{0804C04C-6690-4B77-85D1-EB57C2D2FB9B}"/>
    <hyperlink ref="G4" location="Biodiversity!A1" display="🌏 Biodiversity " xr:uid="{B555D97E-25B6-4D89-9DD0-CF2C43B71021}"/>
  </hyperlinks>
  <pageMargins left="1.5354330708661419" right="1.0236220472440944" top="1.0236220472440944" bottom="1.0236220472440944" header="0.31496062992125984" footer="0.31496062992125984"/>
  <pageSetup paperSize="9" scale="3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551F-6F1B-4847-867B-44D80E883289}">
  <sheetPr codeName="Sheet4">
    <pageSetUpPr fitToPage="1"/>
  </sheetPr>
  <dimension ref="A1:K21"/>
  <sheetViews>
    <sheetView zoomScaleNormal="100" workbookViewId="0">
      <selection activeCell="A6" sqref="A6"/>
    </sheetView>
  </sheetViews>
  <sheetFormatPr defaultColWidth="0" defaultRowHeight="21" customHeight="1" zeroHeight="1" x14ac:dyDescent="0.3"/>
  <cols>
    <col min="1" max="2" width="3.88671875" style="1" customWidth="1"/>
    <col min="3" max="8" width="24.44140625" style="1" customWidth="1"/>
    <col min="9" max="9" width="21.109375" style="1" customWidth="1"/>
    <col min="10" max="10" width="8" style="1" customWidth="1"/>
    <col min="11" max="11" width="3.88671875" style="1" customWidth="1"/>
    <col min="12" max="16384" width="24.44140625" style="1" hidden="1"/>
  </cols>
  <sheetData>
    <row r="1" spans="2:10" ht="12" customHeight="1" x14ac:dyDescent="0.3">
      <c r="I1" s="36"/>
    </row>
    <row r="2" spans="2:10" s="32" customFormat="1" ht="21" customHeight="1" x14ac:dyDescent="0.4">
      <c r="C2" s="25" t="s">
        <v>466</v>
      </c>
      <c r="I2" s="37"/>
    </row>
    <row r="3" spans="2:10" ht="12" customHeight="1" thickBot="1" x14ac:dyDescent="0.35">
      <c r="I3" s="38"/>
      <c r="J3" s="39"/>
    </row>
    <row r="4" spans="2:10" s="4" customFormat="1" ht="21" customHeight="1" thickBot="1" x14ac:dyDescent="0.45">
      <c r="B4" s="31" t="s">
        <v>342</v>
      </c>
      <c r="C4" s="24" t="s">
        <v>334</v>
      </c>
      <c r="D4" s="28" t="s">
        <v>335</v>
      </c>
      <c r="E4" s="41" t="s">
        <v>336</v>
      </c>
      <c r="F4" s="42" t="s">
        <v>338</v>
      </c>
      <c r="G4" s="43" t="s">
        <v>337</v>
      </c>
      <c r="H4" s="107"/>
      <c r="I4" s="108"/>
      <c r="J4" s="21"/>
    </row>
    <row r="5" spans="2:10" ht="21" customHeight="1" thickBot="1" x14ac:dyDescent="0.35">
      <c r="C5" s="5"/>
      <c r="D5" s="6"/>
      <c r="E5" s="6"/>
      <c r="F5" s="6"/>
      <c r="G5" s="6"/>
      <c r="H5" s="109"/>
      <c r="I5" s="110"/>
      <c r="J5" s="8"/>
    </row>
    <row r="6" spans="2:10" ht="21" customHeight="1" thickBot="1" x14ac:dyDescent="0.35">
      <c r="C6" s="122" t="str">
        <f>_xlfn.CONCAT(Metrics!C52," ", ROUGH!C2)</f>
        <v>185 m3</v>
      </c>
      <c r="D6" s="123"/>
      <c r="E6" s="40">
        <f>Metrics!C51/Metrics!C52</f>
        <v>1</v>
      </c>
      <c r="F6" s="18">
        <f>Metrics!C59</f>
        <v>-0.3</v>
      </c>
      <c r="G6" s="19">
        <f>Metrics!C60</f>
        <v>-0.25</v>
      </c>
      <c r="H6" s="109"/>
      <c r="I6" s="110"/>
      <c r="J6" s="8"/>
    </row>
    <row r="7" spans="2:10" s="12" customFormat="1" ht="21" customHeight="1" thickBot="1" x14ac:dyDescent="0.3">
      <c r="B7" s="34"/>
      <c r="C7" s="115" t="s">
        <v>360</v>
      </c>
      <c r="D7" s="115"/>
      <c r="E7" s="17" t="s">
        <v>359</v>
      </c>
      <c r="F7" s="17" t="s">
        <v>355</v>
      </c>
      <c r="G7" s="20" t="s">
        <v>356</v>
      </c>
      <c r="H7" s="109"/>
      <c r="I7" s="110"/>
      <c r="J7" s="13"/>
    </row>
    <row r="8" spans="2:10" s="15" customFormat="1" ht="21" customHeight="1" x14ac:dyDescent="0.3">
      <c r="B8" s="16"/>
      <c r="H8" s="109"/>
      <c r="I8" s="110"/>
      <c r="J8" s="16"/>
    </row>
    <row r="9" spans="2:10" ht="21" customHeight="1" x14ac:dyDescent="0.3">
      <c r="B9" s="8"/>
      <c r="E9" s="111"/>
      <c r="F9" s="111"/>
      <c r="H9" s="109"/>
      <c r="I9" s="110"/>
      <c r="J9" s="8"/>
    </row>
    <row r="10" spans="2:10" ht="21" customHeight="1" x14ac:dyDescent="0.3">
      <c r="C10" s="7"/>
      <c r="E10" s="111"/>
      <c r="F10" s="111"/>
      <c r="H10" s="109"/>
      <c r="I10" s="110"/>
      <c r="J10" s="8"/>
    </row>
    <row r="11" spans="2:10" ht="21" customHeight="1" x14ac:dyDescent="0.3">
      <c r="C11" s="7"/>
      <c r="E11" s="118"/>
      <c r="F11" s="119"/>
      <c r="H11" s="109"/>
      <c r="I11" s="110"/>
      <c r="J11" s="8"/>
    </row>
    <row r="12" spans="2:10" ht="21" customHeight="1" x14ac:dyDescent="0.3">
      <c r="C12" s="7"/>
      <c r="H12" s="109"/>
      <c r="I12" s="110"/>
      <c r="J12" s="8"/>
    </row>
    <row r="13" spans="2:10" ht="21" customHeight="1" x14ac:dyDescent="0.3">
      <c r="C13" s="7"/>
      <c r="H13" s="7"/>
      <c r="J13" s="8"/>
    </row>
    <row r="14" spans="2:10" ht="21" customHeight="1" x14ac:dyDescent="0.3">
      <c r="C14" s="7"/>
      <c r="H14" s="7"/>
      <c r="J14" s="8"/>
    </row>
    <row r="15" spans="2:10" ht="21" customHeight="1" x14ac:dyDescent="0.3">
      <c r="C15" s="7"/>
      <c r="H15" s="7"/>
      <c r="J15" s="8"/>
    </row>
    <row r="16" spans="2:10" ht="21" customHeight="1" x14ac:dyDescent="0.3">
      <c r="C16" s="7"/>
      <c r="H16" s="7"/>
      <c r="J16" s="8"/>
    </row>
    <row r="17" spans="3:10" ht="21" customHeight="1" thickBot="1" x14ac:dyDescent="0.35">
      <c r="C17" s="7"/>
      <c r="H17" s="7"/>
      <c r="J17" s="8"/>
    </row>
    <row r="18" spans="3:10" ht="21" customHeight="1" thickBot="1" x14ac:dyDescent="0.35">
      <c r="C18" s="7"/>
      <c r="H18" s="101" t="str">
        <f>Metrics!B61</f>
        <v>Anticipated effect from water &amp; marine resources</v>
      </c>
      <c r="I18" s="102"/>
      <c r="J18" s="103"/>
    </row>
    <row r="19" spans="3:10" ht="21" customHeight="1" thickBot="1" x14ac:dyDescent="0.35">
      <c r="C19" s="7"/>
      <c r="H19" s="104">
        <f>Metrics!C61</f>
        <v>100000</v>
      </c>
      <c r="I19" s="105"/>
      <c r="J19" s="106"/>
    </row>
    <row r="20" spans="3:10" ht="12" customHeight="1" thickBot="1" x14ac:dyDescent="0.35">
      <c r="C20" s="9"/>
      <c r="D20" s="10"/>
      <c r="E20" s="10"/>
      <c r="F20" s="10"/>
      <c r="G20" s="10"/>
      <c r="H20" s="9"/>
      <c r="I20" s="10"/>
      <c r="J20" s="11"/>
    </row>
    <row r="21" spans="3:10" ht="21" customHeight="1" x14ac:dyDescent="0.3"/>
  </sheetData>
  <mergeCells count="8">
    <mergeCell ref="H18:J18"/>
    <mergeCell ref="H19:J19"/>
    <mergeCell ref="H4:I12"/>
    <mergeCell ref="C7:D7"/>
    <mergeCell ref="E9:F9"/>
    <mergeCell ref="E10:F10"/>
    <mergeCell ref="E11:F11"/>
    <mergeCell ref="C6:D6"/>
  </mergeCells>
  <hyperlinks>
    <hyperlink ref="D4" location="Carbon!A1" display="🌱Carbon Footprint" xr:uid="{604C10AB-730A-40CC-987F-6F5052D04891}"/>
    <hyperlink ref="C4" location="Energy!A1" display="⚡ Energy" xr:uid="{D3B793DA-A125-4615-9628-785606674147}"/>
    <hyperlink ref="B4" location="Home!A1" display="∷" xr:uid="{C7748A33-CCB4-4FB3-8555-EA278A9D078E}"/>
    <hyperlink ref="E4" location="Water!A1" display="💧Water" xr:uid="{1F6465B5-D37A-478B-AE1F-0CA0F93585E6}"/>
    <hyperlink ref="F4" location="Waste_Materials!A1" display="🗑️ Waste &amp; Materials" xr:uid="{4C3C58A2-AB09-4203-A493-DB72B2F35AFC}"/>
    <hyperlink ref="G4" location="Biodiversity!A1" display="🌏 Biodiversity " xr:uid="{14019FF0-2281-4A7F-A348-987C8FB199CC}"/>
  </hyperlinks>
  <pageMargins left="1.5354330708661419" right="1.0236220472440944" top="1.0236220472440944" bottom="1.0236220472440944" header="0.31496062992125984" footer="0.31496062992125984"/>
  <pageSetup paperSize="9" scale="3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6A14-336D-4F38-A946-0CDDB05BAB82}">
  <sheetPr codeName="Sheet5">
    <pageSetUpPr fitToPage="1"/>
  </sheetPr>
  <dimension ref="A1:K21"/>
  <sheetViews>
    <sheetView zoomScaleNormal="100" workbookViewId="0">
      <selection activeCell="G4" sqref="G4"/>
    </sheetView>
  </sheetViews>
  <sheetFormatPr defaultColWidth="0" defaultRowHeight="21" customHeight="1" zeroHeight="1" x14ac:dyDescent="0.3"/>
  <cols>
    <col min="1" max="2" width="3.88671875" style="1" customWidth="1"/>
    <col min="3" max="8" width="24.44140625" style="1" customWidth="1"/>
    <col min="9" max="9" width="21.109375" style="1" customWidth="1"/>
    <col min="10" max="10" width="8" style="1" customWidth="1"/>
    <col min="11" max="11" width="3.88671875" style="1" customWidth="1"/>
    <col min="12" max="16384" width="24.44140625" style="1" hidden="1"/>
  </cols>
  <sheetData>
    <row r="1" spans="2:10" ht="12" customHeight="1" x14ac:dyDescent="0.3">
      <c r="I1" s="36"/>
    </row>
    <row r="2" spans="2:10" s="32" customFormat="1" ht="21" customHeight="1" x14ac:dyDescent="0.4">
      <c r="C2" s="25" t="s">
        <v>466</v>
      </c>
      <c r="I2" s="37"/>
    </row>
    <row r="3" spans="2:10" ht="12" customHeight="1" thickBot="1" x14ac:dyDescent="0.35">
      <c r="I3" s="38"/>
      <c r="J3" s="39"/>
    </row>
    <row r="4" spans="2:10" s="4" customFormat="1" ht="21" customHeight="1" thickBot="1" x14ac:dyDescent="0.45">
      <c r="B4" s="31" t="s">
        <v>342</v>
      </c>
      <c r="C4" s="24" t="s">
        <v>334</v>
      </c>
      <c r="D4" s="28" t="s">
        <v>335</v>
      </c>
      <c r="E4" s="42" t="s">
        <v>336</v>
      </c>
      <c r="F4" s="41" t="s">
        <v>338</v>
      </c>
      <c r="G4" s="43" t="s">
        <v>337</v>
      </c>
      <c r="H4" s="107"/>
      <c r="I4" s="108"/>
      <c r="J4" s="21"/>
    </row>
    <row r="5" spans="2:10" ht="21" customHeight="1" thickBot="1" x14ac:dyDescent="0.35">
      <c r="C5" s="5"/>
      <c r="D5" s="6"/>
      <c r="E5" s="6"/>
      <c r="F5" s="6"/>
      <c r="G5" s="6"/>
      <c r="H5" s="109"/>
      <c r="I5" s="110"/>
      <c r="J5" s="8"/>
    </row>
    <row r="6" spans="2:10" ht="21" customHeight="1" thickBot="1" x14ac:dyDescent="0.35">
      <c r="C6" s="35" t="str">
        <f>_xlfn.CONCAT(Metrics!C70," ", ROUGH!C3)</f>
        <v>12.5525 MT</v>
      </c>
      <c r="D6" s="35" t="str">
        <f>_xlfn.CONCAT(Metrics!C79," ", ROUGH!C3)</f>
        <v>0.08 MT</v>
      </c>
      <c r="E6" s="40">
        <f>Metrics!C91</f>
        <v>0.17391304347826086</v>
      </c>
      <c r="F6" s="14" t="str">
        <f>_xlfn.CONCAT(Metrics!C94," ", ROUGH!C3)</f>
        <v>182 MT</v>
      </c>
      <c r="G6" s="19" t="str">
        <f>_xlfn.CONCAT(Metrics!C88," ", ROUGH!C3)</f>
        <v>29 MT</v>
      </c>
      <c r="H6" s="109"/>
      <c r="I6" s="110"/>
      <c r="J6" s="8"/>
    </row>
    <row r="7" spans="2:10" s="12" customFormat="1" ht="21" customHeight="1" thickBot="1" x14ac:dyDescent="0.3">
      <c r="B7" s="34"/>
      <c r="C7" s="17" t="s">
        <v>368</v>
      </c>
      <c r="D7" s="17" t="s">
        <v>369</v>
      </c>
      <c r="E7" s="17" t="s">
        <v>367</v>
      </c>
      <c r="F7" s="17" t="s">
        <v>373</v>
      </c>
      <c r="G7" s="20" t="s">
        <v>396</v>
      </c>
      <c r="H7" s="109"/>
      <c r="I7" s="110"/>
      <c r="J7" s="13"/>
    </row>
    <row r="8" spans="2:10" s="15" customFormat="1" ht="21" customHeight="1" x14ac:dyDescent="0.3">
      <c r="B8" s="16"/>
      <c r="H8" s="109"/>
      <c r="I8" s="110"/>
      <c r="J8" s="16"/>
    </row>
    <row r="9" spans="2:10" ht="21" customHeight="1" x14ac:dyDescent="0.3">
      <c r="B9" s="8"/>
      <c r="E9" s="111"/>
      <c r="F9" s="111"/>
      <c r="H9" s="109"/>
      <c r="I9" s="110"/>
      <c r="J9" s="8"/>
    </row>
    <row r="10" spans="2:10" ht="21" customHeight="1" x14ac:dyDescent="0.3">
      <c r="C10" s="7"/>
      <c r="E10" s="111"/>
      <c r="F10" s="111"/>
      <c r="H10" s="109"/>
      <c r="I10" s="110"/>
      <c r="J10" s="8"/>
    </row>
    <row r="11" spans="2:10" ht="21" customHeight="1" x14ac:dyDescent="0.3">
      <c r="C11" s="7"/>
      <c r="E11" s="118"/>
      <c r="F11" s="119"/>
      <c r="H11" s="109"/>
      <c r="I11" s="110"/>
      <c r="J11" s="8"/>
    </row>
    <row r="12" spans="2:10" ht="21" customHeight="1" x14ac:dyDescent="0.3">
      <c r="C12" s="7"/>
      <c r="H12" s="109"/>
      <c r="I12" s="110"/>
      <c r="J12" s="8"/>
    </row>
    <row r="13" spans="2:10" ht="21" customHeight="1" x14ac:dyDescent="0.3">
      <c r="C13" s="7"/>
      <c r="H13" s="7"/>
      <c r="J13" s="8"/>
    </row>
    <row r="14" spans="2:10" ht="21" customHeight="1" x14ac:dyDescent="0.3">
      <c r="C14" s="7"/>
      <c r="H14" s="7"/>
      <c r="J14" s="8"/>
    </row>
    <row r="15" spans="2:10" ht="21" customHeight="1" x14ac:dyDescent="0.3">
      <c r="C15" s="7"/>
      <c r="H15" s="7"/>
      <c r="J15" s="8"/>
    </row>
    <row r="16" spans="2:10" ht="21" customHeight="1" x14ac:dyDescent="0.3">
      <c r="C16" s="7"/>
      <c r="H16" s="7"/>
      <c r="J16" s="8"/>
    </row>
    <row r="17" spans="3:10" ht="21" customHeight="1" thickBot="1" x14ac:dyDescent="0.35">
      <c r="C17" s="7"/>
      <c r="H17" s="7"/>
      <c r="J17" s="8"/>
    </row>
    <row r="18" spans="3:10" ht="21" customHeight="1" thickBot="1" x14ac:dyDescent="0.35">
      <c r="C18" s="7"/>
      <c r="H18" s="101" t="s">
        <v>417</v>
      </c>
      <c r="I18" s="102"/>
      <c r="J18" s="103"/>
    </row>
    <row r="19" spans="3:10" ht="21" customHeight="1" thickBot="1" x14ac:dyDescent="0.35">
      <c r="C19" s="7"/>
      <c r="H19" s="124" t="str">
        <f>ROUGH!F2 &amp; ":" &amp; ROUGH!F3</f>
        <v>7.5:5.1</v>
      </c>
      <c r="I19" s="125"/>
      <c r="J19" s="126"/>
    </row>
    <row r="20" spans="3:10" ht="12" customHeight="1" thickBot="1" x14ac:dyDescent="0.35">
      <c r="C20" s="9"/>
      <c r="D20" s="10"/>
      <c r="E20" s="10"/>
      <c r="F20" s="10"/>
      <c r="G20" s="10"/>
      <c r="H20" s="9"/>
      <c r="I20" s="10"/>
      <c r="J20" s="11"/>
    </row>
    <row r="21" spans="3:10" ht="21" customHeight="1" x14ac:dyDescent="0.3"/>
  </sheetData>
  <mergeCells count="6">
    <mergeCell ref="H18:J18"/>
    <mergeCell ref="H19:J19"/>
    <mergeCell ref="H4:I12"/>
    <mergeCell ref="E9:F9"/>
    <mergeCell ref="E10:F10"/>
    <mergeCell ref="E11:F11"/>
  </mergeCells>
  <hyperlinks>
    <hyperlink ref="D4" location="Carbon!A1" display="🌱Carbon Footprint" xr:uid="{9F6D0674-E9EB-4F3B-9C65-45E28D75F52B}"/>
    <hyperlink ref="C4" location="Energy!A1" display="⚡ Energy" xr:uid="{EE73F45D-8209-4C3F-989E-EBEB45F57C21}"/>
    <hyperlink ref="B4" location="Home!A1" display="∷" xr:uid="{922D56A3-FF62-401B-B962-5BEDE15E44A8}"/>
    <hyperlink ref="E4" location="Water!A1" display="💧Water" xr:uid="{C06439D3-EBA5-469A-9AFB-8A05773DBE1A}"/>
    <hyperlink ref="G4" location="Biodiversity!A1" display="🌏 Biodiversity " xr:uid="{EE8413F6-B9F2-45C5-A5B5-65AA5AF72D69}"/>
    <hyperlink ref="F4" location="Waste_Materials!A1" display="🗑️ Waste &amp; Materials" xr:uid="{4021988A-71B1-4F27-A2C5-EED6C3BD21BF}"/>
  </hyperlinks>
  <pageMargins left="1.5354330708661419" right="1.0236220472440944" top="1.0236220472440944" bottom="1.0236220472440944" header="0.31496062992125984" footer="0.31496062992125984"/>
  <pageSetup paperSize="9" scale="3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26C3-E177-4776-870E-D72F20D9C1D6}">
  <sheetPr codeName="Sheet6">
    <pageSetUpPr fitToPage="1"/>
  </sheetPr>
  <dimension ref="A1:K21"/>
  <sheetViews>
    <sheetView zoomScaleNormal="100" workbookViewId="0">
      <selection activeCell="B4" sqref="B4"/>
    </sheetView>
  </sheetViews>
  <sheetFormatPr defaultColWidth="0" defaultRowHeight="21" customHeight="1" zeroHeight="1" x14ac:dyDescent="0.3"/>
  <cols>
    <col min="1" max="2" width="3.88671875" style="1" customWidth="1"/>
    <col min="3" max="8" width="24.44140625" style="1" customWidth="1"/>
    <col min="9" max="9" width="21.109375" style="1" customWidth="1"/>
    <col min="10" max="10" width="8" style="1" customWidth="1"/>
    <col min="11" max="11" width="3.88671875" style="1" customWidth="1"/>
    <col min="12" max="16384" width="24.44140625" style="1" hidden="1"/>
  </cols>
  <sheetData>
    <row r="1" spans="2:10" ht="12" customHeight="1" x14ac:dyDescent="0.3">
      <c r="I1" s="36"/>
    </row>
    <row r="2" spans="2:10" s="32" customFormat="1" ht="21" customHeight="1" x14ac:dyDescent="0.4">
      <c r="C2" s="25" t="s">
        <v>466</v>
      </c>
      <c r="I2" s="37"/>
    </row>
    <row r="3" spans="2:10" ht="12" customHeight="1" thickBot="1" x14ac:dyDescent="0.35">
      <c r="I3" s="38"/>
      <c r="J3" s="39"/>
    </row>
    <row r="4" spans="2:10" s="4" customFormat="1" ht="21" customHeight="1" thickBot="1" x14ac:dyDescent="0.45">
      <c r="B4" s="31" t="s">
        <v>342</v>
      </c>
      <c r="C4" s="24" t="s">
        <v>334</v>
      </c>
      <c r="D4" s="28" t="s">
        <v>335</v>
      </c>
      <c r="E4" s="42" t="s">
        <v>336</v>
      </c>
      <c r="F4" s="42" t="s">
        <v>338</v>
      </c>
      <c r="G4" s="44" t="s">
        <v>337</v>
      </c>
      <c r="H4" s="107"/>
      <c r="I4" s="108"/>
      <c r="J4" s="21"/>
    </row>
    <row r="5" spans="2:10" ht="21" customHeight="1" thickBot="1" x14ac:dyDescent="0.35">
      <c r="C5" s="5"/>
      <c r="D5" s="6"/>
      <c r="E5" s="6"/>
      <c r="F5" s="49"/>
      <c r="G5" s="6"/>
      <c r="H5" s="109"/>
      <c r="I5" s="110"/>
      <c r="J5" s="8"/>
    </row>
    <row r="6" spans="2:10" ht="21" customHeight="1" thickBot="1" x14ac:dyDescent="0.35">
      <c r="C6" s="122" t="str">
        <f>Metrics!C10</f>
        <v>Mumbai</v>
      </c>
      <c r="D6" s="123"/>
      <c r="E6" s="14" t="str">
        <f>_xlfn.CONCAT(Metrics!C100," ",ROUGH!C4)</f>
        <v>280 m2</v>
      </c>
      <c r="F6" s="18">
        <f>Metrics!C98/Metrics!C100</f>
        <v>0.8928571428571429</v>
      </c>
      <c r="G6" s="22" t="str">
        <f>_xlfn.CONCAT(Metrics!C99," ",ROUGH!C4)</f>
        <v>30 m2</v>
      </c>
      <c r="H6" s="109"/>
      <c r="I6" s="110"/>
      <c r="J6" s="8"/>
    </row>
    <row r="7" spans="2:10" s="12" customFormat="1" ht="21" customHeight="1" thickBot="1" x14ac:dyDescent="0.3">
      <c r="B7" s="34"/>
      <c r="C7" s="115" t="s">
        <v>418</v>
      </c>
      <c r="D7" s="115"/>
      <c r="E7" s="17" t="s">
        <v>419</v>
      </c>
      <c r="F7" s="17" t="s">
        <v>422</v>
      </c>
      <c r="G7" s="17" t="s">
        <v>433</v>
      </c>
      <c r="H7" s="109"/>
      <c r="I7" s="110"/>
      <c r="J7" s="13"/>
    </row>
    <row r="8" spans="2:10" s="15" customFormat="1" ht="21" customHeight="1" x14ac:dyDescent="0.3">
      <c r="B8" s="16"/>
      <c r="G8" s="16"/>
      <c r="H8" s="110"/>
      <c r="I8" s="110"/>
      <c r="J8" s="16"/>
    </row>
    <row r="9" spans="2:10" ht="21" customHeight="1" x14ac:dyDescent="0.3">
      <c r="B9" s="8"/>
      <c r="F9" s="136" t="s">
        <v>452</v>
      </c>
      <c r="G9" s="137"/>
      <c r="H9" s="110"/>
      <c r="I9" s="110"/>
      <c r="J9" s="8"/>
    </row>
    <row r="10" spans="2:10" ht="21" customHeight="1" x14ac:dyDescent="0.3">
      <c r="B10" s="8"/>
      <c r="F10" s="136"/>
      <c r="G10" s="137"/>
      <c r="H10" s="110"/>
      <c r="I10" s="110"/>
      <c r="J10" s="8"/>
    </row>
    <row r="11" spans="2:10" ht="21" customHeight="1" x14ac:dyDescent="0.3">
      <c r="B11" s="8"/>
      <c r="E11" s="47"/>
      <c r="F11" s="138"/>
      <c r="G11" s="139"/>
      <c r="H11" s="110"/>
      <c r="I11" s="110"/>
      <c r="J11" s="8"/>
    </row>
    <row r="12" spans="2:10" ht="21" customHeight="1" x14ac:dyDescent="0.3">
      <c r="C12" s="7"/>
      <c r="F12" s="127" t="str">
        <f>Metrics!B103</f>
        <v>Does the Organisation Source Priority Raw Materials From Deforestation Free Areas?</v>
      </c>
      <c r="G12" s="130" t="str">
        <f>Metrics!C103</f>
        <v>YES</v>
      </c>
      <c r="H12" s="110"/>
      <c r="I12" s="110"/>
      <c r="J12" s="8"/>
    </row>
    <row r="13" spans="2:10" ht="21" customHeight="1" x14ac:dyDescent="0.3">
      <c r="C13" s="7"/>
      <c r="F13" s="128"/>
      <c r="G13" s="131"/>
      <c r="J13" s="8"/>
    </row>
    <row r="14" spans="2:10" ht="21" customHeight="1" x14ac:dyDescent="0.3">
      <c r="C14" s="7"/>
      <c r="F14" s="129"/>
      <c r="G14" s="132"/>
      <c r="J14" s="8"/>
    </row>
    <row r="15" spans="2:10" ht="21" customHeight="1" x14ac:dyDescent="0.3">
      <c r="C15" s="7"/>
      <c r="E15" s="47"/>
      <c r="F15" s="133" t="str">
        <f>Metrics!B104</f>
        <v>Any Incidents of Deforestation?</v>
      </c>
      <c r="G15" s="131" t="str">
        <f>Metrics!C104</f>
        <v>NO</v>
      </c>
      <c r="J15" s="8"/>
    </row>
    <row r="16" spans="2:10" ht="21" customHeight="1" x14ac:dyDescent="0.3">
      <c r="C16" s="7"/>
      <c r="E16" s="47"/>
      <c r="F16" s="133"/>
      <c r="G16" s="131"/>
      <c r="J16" s="8"/>
    </row>
    <row r="17" spans="3:10" ht="21" customHeight="1" thickBot="1" x14ac:dyDescent="0.35">
      <c r="C17" s="7"/>
      <c r="F17" s="127" t="str">
        <f>Metrics!B105</f>
        <v>Any Species Under Global Extinction Risk Affected?</v>
      </c>
      <c r="G17" s="130" t="str">
        <f>Metrics!C105</f>
        <v>NO</v>
      </c>
      <c r="J17" s="8"/>
    </row>
    <row r="18" spans="3:10" ht="21" customHeight="1" thickBot="1" x14ac:dyDescent="0.35">
      <c r="C18" s="7"/>
      <c r="F18" s="128"/>
      <c r="G18" s="134"/>
      <c r="H18" s="102" t="str">
        <f>Metrics!B61</f>
        <v>Anticipated effect from water &amp; marine resources</v>
      </c>
      <c r="I18" s="102"/>
      <c r="J18" s="103"/>
    </row>
    <row r="19" spans="3:10" ht="21" customHeight="1" thickBot="1" x14ac:dyDescent="0.35">
      <c r="C19" s="7"/>
      <c r="F19" s="129"/>
      <c r="G19" s="135"/>
      <c r="H19" s="105">
        <f>Metrics!C61</f>
        <v>100000</v>
      </c>
      <c r="I19" s="105"/>
      <c r="J19" s="106"/>
    </row>
    <row r="20" spans="3:10" ht="12" customHeight="1" thickBot="1" x14ac:dyDescent="0.35">
      <c r="C20" s="9"/>
      <c r="D20" s="10"/>
      <c r="E20" s="48"/>
      <c r="F20" s="10"/>
      <c r="G20" s="11"/>
      <c r="H20" s="10"/>
      <c r="I20" s="10"/>
      <c r="J20" s="11"/>
    </row>
    <row r="21" spans="3:10" ht="21" customHeight="1" x14ac:dyDescent="0.3"/>
  </sheetData>
  <mergeCells count="12">
    <mergeCell ref="H18:J18"/>
    <mergeCell ref="H19:J19"/>
    <mergeCell ref="H4:I12"/>
    <mergeCell ref="C7:D7"/>
    <mergeCell ref="F12:F14"/>
    <mergeCell ref="G12:G14"/>
    <mergeCell ref="F15:F16"/>
    <mergeCell ref="C6:D6"/>
    <mergeCell ref="G15:G16"/>
    <mergeCell ref="F17:F19"/>
    <mergeCell ref="G17:G19"/>
    <mergeCell ref="F9:G11"/>
  </mergeCells>
  <hyperlinks>
    <hyperlink ref="D4" location="Carbon!A1" display="🌱Carbon Footprint" xr:uid="{3DB75D11-BCD6-4151-B5CF-EA2CC6E30BA8}"/>
    <hyperlink ref="C4" location="Energy!A1" display="⚡ Energy" xr:uid="{C2AC4CF2-4C98-475A-A924-A62AE430823A}"/>
    <hyperlink ref="B4" location="Home!A1" display="∷" xr:uid="{E9CCE764-EC7B-4CED-B9F4-90502404EC52}"/>
    <hyperlink ref="F4" location="Waste_Materials!A1" display="🗑️ Waste &amp; Materials" xr:uid="{1E83D1CE-A54C-4F90-B3E9-3B4CC1A0A8D7}"/>
    <hyperlink ref="E4" location="Water!A1" display="💧Water" xr:uid="{BB243161-9457-45A9-A074-0AA6A7CD2BCB}"/>
    <hyperlink ref="G4" location="Biodiversity!A1" display="🌏 Biodiversity " xr:uid="{20527BD6-8DFE-41FE-9B55-3A9A8383414F}"/>
  </hyperlinks>
  <pageMargins left="1.5354330708661419" right="1.5354330708661419" top="1.0236220472440944" bottom="1.0236220472440944" header="0.31496062992125984" footer="0.31496062992125984"/>
  <pageSetup paperSize="9" scale="3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D082-E51C-45B4-89EC-661FD8340097}">
  <sheetPr codeName="Sheet7">
    <pageSetUpPr fitToPage="1"/>
  </sheetPr>
  <dimension ref="A1:O114"/>
  <sheetViews>
    <sheetView workbookViewId="0">
      <pane ySplit="1" topLeftCell="A6" activePane="bottomLeft" state="frozen"/>
      <selection pane="bottomLeft" sqref="A1:D1048576"/>
    </sheetView>
  </sheetViews>
  <sheetFormatPr defaultColWidth="0" defaultRowHeight="15.6" zeroHeight="1" x14ac:dyDescent="0.25"/>
  <cols>
    <col min="1" max="1" width="16.44140625" style="89" customWidth="1"/>
    <col min="2" max="2" width="76.77734375" style="59" customWidth="1"/>
    <col min="3" max="3" width="18.77734375" style="90" customWidth="1"/>
    <col min="4" max="4" width="18.77734375" style="91" customWidth="1"/>
    <col min="5" max="5" width="53.77734375" style="153" customWidth="1"/>
    <col min="6" max="9" width="8.88671875" style="46" hidden="1" customWidth="1"/>
    <col min="10" max="15" width="0" style="46" hidden="1" customWidth="1"/>
    <col min="16" max="16384" width="8.88671875" style="46" hidden="1"/>
  </cols>
  <sheetData>
    <row r="1" spans="1:5" s="84" customFormat="1" x14ac:dyDescent="0.3">
      <c r="A1" s="78" t="s">
        <v>330</v>
      </c>
      <c r="B1" s="79" t="s">
        <v>331</v>
      </c>
      <c r="C1" s="88" t="s">
        <v>332</v>
      </c>
      <c r="D1" s="88" t="s">
        <v>456</v>
      </c>
      <c r="E1" s="152" t="s">
        <v>333</v>
      </c>
    </row>
    <row r="2" spans="1:5" s="87" customFormat="1" x14ac:dyDescent="0.25">
      <c r="A2" s="89"/>
      <c r="B2" s="59"/>
      <c r="C2" s="90"/>
      <c r="D2" s="91"/>
      <c r="E2" s="153"/>
    </row>
    <row r="3" spans="1:5" s="84" customFormat="1" x14ac:dyDescent="0.3">
      <c r="A3" s="89" t="s">
        <v>37</v>
      </c>
      <c r="B3" s="62" t="s">
        <v>22</v>
      </c>
      <c r="C3" s="90"/>
      <c r="D3" s="91"/>
      <c r="E3" s="154"/>
    </row>
    <row r="4" spans="1:5" s="84" customFormat="1" x14ac:dyDescent="0.3">
      <c r="A4" s="89" t="s">
        <v>25</v>
      </c>
      <c r="B4" s="62" t="s">
        <v>27</v>
      </c>
      <c r="C4" s="90"/>
      <c r="D4" s="91"/>
      <c r="E4" s="154"/>
    </row>
    <row r="5" spans="1:5" s="87" customFormat="1" x14ac:dyDescent="0.25">
      <c r="A5" s="140" t="s">
        <v>32</v>
      </c>
      <c r="B5" s="141" t="s">
        <v>465</v>
      </c>
      <c r="C5" s="142" t="s">
        <v>467</v>
      </c>
      <c r="D5" s="143" t="str">
        <f>IF(C5="",ROUGH!$C$6,ROUGH!$C$7)</f>
        <v>OK</v>
      </c>
      <c r="E5" s="153"/>
    </row>
    <row r="6" spans="1:5" s="87" customFormat="1" x14ac:dyDescent="0.25">
      <c r="A6" s="140" t="s">
        <v>33</v>
      </c>
      <c r="B6" s="141" t="s">
        <v>28</v>
      </c>
      <c r="C6" s="142" t="s">
        <v>459</v>
      </c>
      <c r="D6" s="143" t="str">
        <f>IF(C6="",ROUGH!$C$6,ROUGH!$C$7)</f>
        <v>OK</v>
      </c>
      <c r="E6" s="153"/>
    </row>
    <row r="7" spans="1:5" s="87" customFormat="1" x14ac:dyDescent="0.25">
      <c r="A7" s="140" t="s">
        <v>34</v>
      </c>
      <c r="B7" s="141" t="s">
        <v>29</v>
      </c>
      <c r="C7" s="142" t="s">
        <v>49</v>
      </c>
      <c r="D7" s="143" t="str">
        <f>IF(C7="",ROUGH!$C$6,ROUGH!$C$7)</f>
        <v>OK</v>
      </c>
      <c r="E7" s="153"/>
    </row>
    <row r="8" spans="1:5" s="87" customFormat="1" x14ac:dyDescent="0.25">
      <c r="A8" s="140" t="s">
        <v>35</v>
      </c>
      <c r="B8" s="141" t="s">
        <v>30</v>
      </c>
      <c r="C8" s="142">
        <v>5000000</v>
      </c>
      <c r="D8" s="143" t="str">
        <f>IF(C8="",ROUGH!$C$6,ROUGH!$C$7)</f>
        <v>OK</v>
      </c>
      <c r="E8" s="153"/>
    </row>
    <row r="9" spans="1:5" s="87" customFormat="1" x14ac:dyDescent="0.25">
      <c r="A9" s="140" t="s">
        <v>36</v>
      </c>
      <c r="B9" s="141" t="s">
        <v>31</v>
      </c>
      <c r="C9" s="142" t="s">
        <v>45</v>
      </c>
      <c r="D9" s="143" t="str">
        <f>IF(C9="",ROUGH!$C$6,ROUGH!$C$7)</f>
        <v>OK</v>
      </c>
      <c r="E9" s="153" t="s">
        <v>293</v>
      </c>
    </row>
    <row r="10" spans="1:5" s="87" customFormat="1" x14ac:dyDescent="0.25">
      <c r="A10" s="140" t="s">
        <v>307</v>
      </c>
      <c r="B10" s="141" t="s">
        <v>305</v>
      </c>
      <c r="C10" s="142" t="s">
        <v>306</v>
      </c>
      <c r="D10" s="143" t="str">
        <f>IF(C10="",ROUGH!$C$6,ROUGH!$C$7)</f>
        <v>OK</v>
      </c>
      <c r="E10" s="153"/>
    </row>
    <row r="11" spans="1:5" s="87" customFormat="1" x14ac:dyDescent="0.25">
      <c r="A11" s="89"/>
      <c r="B11" s="59"/>
      <c r="C11" s="92"/>
      <c r="D11" s="93"/>
      <c r="E11" s="153"/>
    </row>
    <row r="12" spans="1:5" s="87" customFormat="1" x14ac:dyDescent="0.3">
      <c r="A12" s="89" t="s">
        <v>23</v>
      </c>
      <c r="B12" s="62" t="s">
        <v>24</v>
      </c>
      <c r="C12" s="90"/>
      <c r="D12" s="93"/>
      <c r="E12" s="153"/>
    </row>
    <row r="13" spans="1:5" s="87" customFormat="1" x14ac:dyDescent="0.3">
      <c r="A13" s="89" t="s">
        <v>26</v>
      </c>
      <c r="B13" s="62" t="s">
        <v>18</v>
      </c>
      <c r="C13" s="90"/>
      <c r="D13" s="93"/>
      <c r="E13" s="153"/>
    </row>
    <row r="14" spans="1:5" s="87" customFormat="1" x14ac:dyDescent="0.25">
      <c r="A14" s="140" t="s">
        <v>38</v>
      </c>
      <c r="B14" s="141" t="s">
        <v>67</v>
      </c>
      <c r="C14" s="144">
        <f>SUM(Inputs!L6:L14)</f>
        <v>4643.8874999999989</v>
      </c>
      <c r="D14" s="143" t="str">
        <f>IF(C14="",ROUGH!$C$6,ROUGH!$C$7)</f>
        <v>OK</v>
      </c>
      <c r="E14" s="153"/>
    </row>
    <row r="15" spans="1:5" s="87" customFormat="1" x14ac:dyDescent="0.25">
      <c r="A15" s="140" t="s">
        <v>39</v>
      </c>
      <c r="B15" s="141" t="s">
        <v>66</v>
      </c>
      <c r="C15" s="144">
        <f>(C14/(C8/1000000))</f>
        <v>928.7774999999998</v>
      </c>
      <c r="D15" s="143" t="str">
        <f>IF(C15="",ROUGH!$C$6,ROUGH!$C$7)</f>
        <v>OK</v>
      </c>
      <c r="E15" s="153"/>
    </row>
    <row r="16" spans="1:5" s="87" customFormat="1" x14ac:dyDescent="0.25">
      <c r="A16" s="140" t="s">
        <v>40</v>
      </c>
      <c r="B16" s="141" t="s">
        <v>68</v>
      </c>
      <c r="C16" s="145">
        <f>(SUM(Inputs!N6:N14)/C14)</f>
        <v>0.12920209630401255</v>
      </c>
      <c r="D16" s="143" t="str">
        <f>IF(C16="",ROUGH!$C$6,ROUGH!$C$7)</f>
        <v>OK</v>
      </c>
      <c r="E16" s="153"/>
    </row>
    <row r="17" spans="1:5" s="87" customFormat="1" x14ac:dyDescent="0.25">
      <c r="A17" s="140" t="s">
        <v>41</v>
      </c>
      <c r="B17" s="141" t="s">
        <v>44</v>
      </c>
      <c r="C17" s="144">
        <f>SUM(Inputs!L6:L8)</f>
        <v>4600</v>
      </c>
      <c r="D17" s="143" t="str">
        <f>IF(C17="",ROUGH!$C$6,ROUGH!$C$7)</f>
        <v>OK</v>
      </c>
      <c r="E17" s="153"/>
    </row>
    <row r="18" spans="1:5" s="87" customFormat="1" x14ac:dyDescent="0.25">
      <c r="A18" s="140" t="s">
        <v>46</v>
      </c>
      <c r="B18" s="141" t="s">
        <v>42</v>
      </c>
      <c r="C18" s="144">
        <f>SUM(Inputs!N6:N8)</f>
        <v>600</v>
      </c>
      <c r="D18" s="143" t="str">
        <f>IF(C18="",ROUGH!$C$6,ROUGH!$C$7)</f>
        <v>OK</v>
      </c>
      <c r="E18" s="153"/>
    </row>
    <row r="19" spans="1:5" s="87" customFormat="1" x14ac:dyDescent="0.25">
      <c r="A19" s="140" t="s">
        <v>47</v>
      </c>
      <c r="B19" s="141" t="s">
        <v>43</v>
      </c>
      <c r="C19" s="144">
        <f>SUM(Inputs!O6:O8)</f>
        <v>4000</v>
      </c>
      <c r="D19" s="143" t="str">
        <f>IF(C19="",ROUGH!$C$6,ROUGH!$C$7)</f>
        <v>OK</v>
      </c>
      <c r="E19" s="153"/>
    </row>
    <row r="20" spans="1:5" s="87" customFormat="1" x14ac:dyDescent="0.25">
      <c r="A20" s="140" t="s">
        <v>48</v>
      </c>
      <c r="B20" s="141" t="s">
        <v>56</v>
      </c>
      <c r="C20" s="144">
        <f>SUM(Inputs!N11:O14)</f>
        <v>43.887500000000003</v>
      </c>
      <c r="D20" s="143" t="str">
        <f>IF(C20="",ROUGH!$C$6,ROUGH!$C$7)</f>
        <v>OK</v>
      </c>
      <c r="E20" s="153"/>
    </row>
    <row r="21" spans="1:5" s="87" customFormat="1" x14ac:dyDescent="0.25">
      <c r="A21" s="89"/>
      <c r="B21" s="59"/>
      <c r="C21" s="90"/>
      <c r="D21" s="93"/>
      <c r="E21" s="153"/>
    </row>
    <row r="22" spans="1:5" s="87" customFormat="1" x14ac:dyDescent="0.3">
      <c r="A22" s="89" t="s">
        <v>50</v>
      </c>
      <c r="B22" s="62" t="s">
        <v>51</v>
      </c>
      <c r="C22" s="90"/>
      <c r="D22" s="93"/>
      <c r="E22" s="153"/>
    </row>
    <row r="23" spans="1:5" s="87" customFormat="1" x14ac:dyDescent="0.25">
      <c r="A23" s="140" t="s">
        <v>69</v>
      </c>
      <c r="B23" s="141" t="s">
        <v>65</v>
      </c>
      <c r="C23" s="144">
        <f>SUMIFS(Inputs!M:M, Inputs!D:D, "Scope 1")</f>
        <v>23.964548000000001</v>
      </c>
      <c r="D23" s="143" t="str">
        <f>IF(C23="",ROUGH!$C$6,ROUGH!$C$7)</f>
        <v>OK</v>
      </c>
      <c r="E23" s="153"/>
    </row>
    <row r="24" spans="1:5" s="87" customFormat="1" x14ac:dyDescent="0.25">
      <c r="A24" s="140" t="s">
        <v>70</v>
      </c>
      <c r="B24" s="141" t="s">
        <v>117</v>
      </c>
      <c r="C24" s="144">
        <f>SUMIFS(Inputs!M:M, Inputs!D:D, "Scope 2: Location")</f>
        <v>3.24</v>
      </c>
      <c r="D24" s="143" t="str">
        <f>IF(C24="",ROUGH!$C$6,ROUGH!$C$7)</f>
        <v>OK</v>
      </c>
      <c r="E24" s="153"/>
    </row>
    <row r="25" spans="1:5" s="87" customFormat="1" x14ac:dyDescent="0.25">
      <c r="A25" s="140" t="s">
        <v>71</v>
      </c>
      <c r="B25" s="141" t="s">
        <v>232</v>
      </c>
      <c r="C25" s="144">
        <f>SUMIFS(Inputs!M:M, Inputs!D:D, "Scope 3", Inputs!E:E, "Business Travels")</f>
        <v>19.320178787579998</v>
      </c>
      <c r="D25" s="143" t="str">
        <f>IF(C25="",ROUGH!$C$6,ROUGH!$C$7)</f>
        <v>OK</v>
      </c>
      <c r="E25" s="153"/>
    </row>
    <row r="26" spans="1:5" s="87" customFormat="1" x14ac:dyDescent="0.25">
      <c r="A26" s="140" t="s">
        <v>72</v>
      </c>
      <c r="B26" s="141" t="s">
        <v>233</v>
      </c>
      <c r="C26" s="144">
        <f>SUMIFS(Inputs!M:M, Inputs!D:D, "Scope 3", Inputs!E:E, "Upstream Transport")</f>
        <v>4.0754000000000001</v>
      </c>
      <c r="D26" s="143" t="str">
        <f>IF(C26="",ROUGH!$C$6,ROUGH!$C$7)</f>
        <v>OK</v>
      </c>
      <c r="E26" s="153"/>
    </row>
    <row r="27" spans="1:5" s="87" customFormat="1" x14ac:dyDescent="0.25">
      <c r="A27" s="140" t="s">
        <v>73</v>
      </c>
      <c r="B27" s="141" t="s">
        <v>64</v>
      </c>
      <c r="C27" s="144">
        <f>SUM(C23:C24)</f>
        <v>27.204548000000003</v>
      </c>
      <c r="D27" s="143" t="str">
        <f>IF(C27="",ROUGH!$C$6,ROUGH!$C$7)</f>
        <v>OK</v>
      </c>
      <c r="E27" s="153"/>
    </row>
    <row r="28" spans="1:5" s="87" customFormat="1" x14ac:dyDescent="0.25">
      <c r="A28" s="140" t="s">
        <v>74</v>
      </c>
      <c r="B28" s="141" t="s">
        <v>234</v>
      </c>
      <c r="C28" s="144">
        <f>C25+C26</f>
        <v>23.39557878758</v>
      </c>
      <c r="D28" s="143" t="str">
        <f>IF(C28="",ROUGH!$C$6,ROUGH!$C$7)</f>
        <v>OK</v>
      </c>
      <c r="E28" s="153"/>
    </row>
    <row r="29" spans="1:5" s="87" customFormat="1" x14ac:dyDescent="0.25">
      <c r="A29" s="140" t="s">
        <v>236</v>
      </c>
      <c r="B29" s="141" t="s">
        <v>235</v>
      </c>
      <c r="C29" s="144">
        <f>C27+C28</f>
        <v>50.600126787580002</v>
      </c>
      <c r="D29" s="143" t="str">
        <f>IF(C29="",ROUGH!$C$6,ROUGH!$C$7)</f>
        <v>OK</v>
      </c>
      <c r="E29" s="153"/>
    </row>
    <row r="30" spans="1:5" s="87" customFormat="1" x14ac:dyDescent="0.25">
      <c r="A30" s="140" t="s">
        <v>237</v>
      </c>
      <c r="B30" s="141" t="s">
        <v>58</v>
      </c>
      <c r="C30" s="144">
        <f>C29 / (C8 / 1000000)</f>
        <v>10.120025357516001</v>
      </c>
      <c r="D30" s="143" t="str">
        <f>IF(C30="",ROUGH!$C$6,ROUGH!$C$7)</f>
        <v>OK</v>
      </c>
      <c r="E30" s="153"/>
    </row>
    <row r="31" spans="1:5" s="87" customFormat="1" x14ac:dyDescent="0.25">
      <c r="A31" s="140" t="s">
        <v>238</v>
      </c>
      <c r="B31" s="141" t="s">
        <v>59</v>
      </c>
      <c r="C31" s="144">
        <f>SUMIFS(Inputs!M:M, Inputs!D:D, "Removals")</f>
        <v>-100</v>
      </c>
      <c r="D31" s="143" t="str">
        <f>IF(C31="",ROUGH!$C$6,ROUGH!$C$7)</f>
        <v>OK</v>
      </c>
      <c r="E31" s="153"/>
    </row>
    <row r="32" spans="1:5" s="87" customFormat="1" x14ac:dyDescent="0.25">
      <c r="A32" s="89"/>
      <c r="B32" s="59"/>
      <c r="C32" s="90"/>
      <c r="D32" s="93"/>
      <c r="E32" s="153"/>
    </row>
    <row r="33" spans="1:5" s="84" customFormat="1" x14ac:dyDescent="0.3">
      <c r="A33" s="89" t="s">
        <v>75</v>
      </c>
      <c r="B33" s="62" t="s">
        <v>123</v>
      </c>
      <c r="C33" s="90"/>
      <c r="D33" s="93"/>
      <c r="E33" s="155"/>
    </row>
    <row r="34" spans="1:5" s="87" customFormat="1" x14ac:dyDescent="0.25">
      <c r="A34" s="140" t="s">
        <v>124</v>
      </c>
      <c r="B34" s="141" t="s">
        <v>130</v>
      </c>
      <c r="C34" s="146">
        <f>SUMIFS(Inputs!L:L, Inputs!E:E,"NOx")</f>
        <v>50</v>
      </c>
      <c r="D34" s="143" t="str">
        <f>IF(C34="",ROUGH!$C$6,ROUGH!$C$7)</f>
        <v>OK</v>
      </c>
      <c r="E34" s="156"/>
    </row>
    <row r="35" spans="1:5" s="87" customFormat="1" x14ac:dyDescent="0.25">
      <c r="A35" s="140" t="s">
        <v>125</v>
      </c>
      <c r="B35" s="141" t="s">
        <v>129</v>
      </c>
      <c r="C35" s="146">
        <f>SUMIFS(Inputs!L:L, Inputs!E:E, "SOx")</f>
        <v>20</v>
      </c>
      <c r="D35" s="143" t="str">
        <f>IF(C35="",ROUGH!$C$6,ROUGH!$C$7)</f>
        <v>OK</v>
      </c>
      <c r="E35" s="156"/>
    </row>
    <row r="36" spans="1:5" s="87" customFormat="1" x14ac:dyDescent="0.25">
      <c r="A36" s="140" t="s">
        <v>126</v>
      </c>
      <c r="B36" s="141" t="s">
        <v>128</v>
      </c>
      <c r="C36" s="146">
        <f>SUMIFS(Inputs!L:L, Inputs!E:E, "PM10/PM2.5")</f>
        <v>100</v>
      </c>
      <c r="D36" s="143" t="str">
        <f>IF(C36="",ROUGH!$C$6,ROUGH!$C$7)</f>
        <v>OK</v>
      </c>
      <c r="E36" s="156"/>
    </row>
    <row r="37" spans="1:5" s="87" customFormat="1" x14ac:dyDescent="0.25">
      <c r="A37" s="140" t="s">
        <v>127</v>
      </c>
      <c r="B37" s="141" t="s">
        <v>353</v>
      </c>
      <c r="C37" s="146">
        <f>SUMIFS(Inputs!L:L,  Inputs!B:B, Metrics!B37)</f>
        <v>125</v>
      </c>
      <c r="D37" s="143" t="str">
        <f>IF(C37="",ROUGH!$C$6,ROUGH!$C$7)</f>
        <v>OK</v>
      </c>
      <c r="E37" s="156"/>
    </row>
    <row r="38" spans="1:5" s="84" customFormat="1" x14ac:dyDescent="0.3">
      <c r="A38" s="89"/>
      <c r="B38" s="59"/>
      <c r="C38" s="94"/>
      <c r="D38" s="93"/>
      <c r="E38" s="155"/>
    </row>
    <row r="39" spans="1:5" s="84" customFormat="1" x14ac:dyDescent="0.3">
      <c r="A39" s="89" t="s">
        <v>163</v>
      </c>
      <c r="B39" s="62" t="s">
        <v>171</v>
      </c>
      <c r="C39" s="90"/>
      <c r="D39" s="93"/>
      <c r="E39" s="155"/>
    </row>
    <row r="40" spans="1:5" s="87" customFormat="1" x14ac:dyDescent="0.25">
      <c r="A40" s="140" t="s">
        <v>124</v>
      </c>
      <c r="B40" s="141" t="s">
        <v>168</v>
      </c>
      <c r="C40" s="147">
        <f>_xlfn.XLOOKUP(Metrics!B40, Inputs!B:B, Inputs!L:L, "")</f>
        <v>0.1</v>
      </c>
      <c r="D40" s="143" t="str">
        <f>IF(C40="",ROUGH!$C$6,ROUGH!$C$7)</f>
        <v>OK</v>
      </c>
      <c r="E40" s="156"/>
    </row>
    <row r="41" spans="1:5" s="87" customFormat="1" x14ac:dyDescent="0.25">
      <c r="A41" s="140" t="s">
        <v>125</v>
      </c>
      <c r="B41" s="141" t="s">
        <v>169</v>
      </c>
      <c r="C41" s="148">
        <f>_xlfn.XLOOKUP(Metrics!B41, Inputs!B:B, Inputs!L:L, "")</f>
        <v>250000</v>
      </c>
      <c r="D41" s="143" t="str">
        <f>IF(C41="",ROUGH!$C$6,ROUGH!$C$7)</f>
        <v>OK</v>
      </c>
      <c r="E41" s="156"/>
    </row>
    <row r="42" spans="1:5" s="87" customFormat="1" x14ac:dyDescent="0.25">
      <c r="A42" s="140" t="s">
        <v>126</v>
      </c>
      <c r="B42" s="141" t="s">
        <v>170</v>
      </c>
      <c r="C42" s="148">
        <f>_xlfn.XLOOKUP(Metrics!B42, Inputs!B:B, Inputs!L:L, "")</f>
        <v>100000</v>
      </c>
      <c r="D42" s="143" t="str">
        <f>IF(C42="",ROUGH!$C$6,ROUGH!$C$7)</f>
        <v>OK</v>
      </c>
      <c r="E42" s="156"/>
    </row>
    <row r="43" spans="1:5" s="87" customFormat="1" x14ac:dyDescent="0.25">
      <c r="A43" s="140" t="s">
        <v>127</v>
      </c>
      <c r="B43" s="141" t="s">
        <v>341</v>
      </c>
      <c r="C43" s="147">
        <v>0.5</v>
      </c>
      <c r="D43" s="143" t="str">
        <f>IF(C43="",ROUGH!$C$6,ROUGH!$C$7)</f>
        <v>OK</v>
      </c>
      <c r="E43" s="156"/>
    </row>
    <row r="44" spans="1:5" s="87" customFormat="1" x14ac:dyDescent="0.25">
      <c r="A44" s="89"/>
      <c r="B44" s="59"/>
      <c r="C44" s="90"/>
      <c r="D44" s="93"/>
      <c r="E44" s="153"/>
    </row>
    <row r="45" spans="1:5" s="84" customFormat="1" x14ac:dyDescent="0.3">
      <c r="A45" s="89" t="s">
        <v>60</v>
      </c>
      <c r="B45" s="62" t="s">
        <v>83</v>
      </c>
      <c r="C45" s="90"/>
      <c r="D45" s="93"/>
      <c r="E45" s="154"/>
    </row>
    <row r="46" spans="1:5" s="84" customFormat="1" x14ac:dyDescent="0.3">
      <c r="A46" s="89" t="s">
        <v>84</v>
      </c>
      <c r="B46" s="62" t="s">
        <v>99</v>
      </c>
      <c r="C46" s="90"/>
      <c r="D46" s="93"/>
      <c r="E46" s="154"/>
    </row>
    <row r="47" spans="1:5" s="87" customFormat="1" x14ac:dyDescent="0.25">
      <c r="A47" s="140" t="s">
        <v>100</v>
      </c>
      <c r="B47" s="141" t="s">
        <v>186</v>
      </c>
      <c r="C47" s="144">
        <f>SUMIFS(Inputs!O:O,Inputs!D:D, "Withdrawal")</f>
        <v>250</v>
      </c>
      <c r="D47" s="143" t="str">
        <f>IF(C47="",ROUGH!$C$6,ROUGH!$C$7)</f>
        <v>OK</v>
      </c>
      <c r="E47" s="153" t="s">
        <v>189</v>
      </c>
    </row>
    <row r="48" spans="1:5" s="87" customFormat="1" x14ac:dyDescent="0.25">
      <c r="A48" s="140" t="s">
        <v>101</v>
      </c>
      <c r="B48" s="141" t="s">
        <v>187</v>
      </c>
      <c r="C48" s="144">
        <f>SUMIFS(Inputs!O:O,Inputs!B:B, "Water withdrawn from high water-stress areas", Inputs!D:D, "Withdrawal")</f>
        <v>50</v>
      </c>
      <c r="D48" s="143" t="str">
        <f>IF(C48="",ROUGH!$C$6,ROUGH!$C$7)</f>
        <v>OK</v>
      </c>
      <c r="E48" s="153" t="s">
        <v>190</v>
      </c>
    </row>
    <row r="49" spans="1:5" s="87" customFormat="1" x14ac:dyDescent="0.25">
      <c r="A49" s="140" t="s">
        <v>102</v>
      </c>
      <c r="B49" s="141" t="s">
        <v>188</v>
      </c>
      <c r="C49" s="144">
        <f>SUMIFS(Inputs!O:O,Inputs!D:D, "Discharge", Inputs!B:B, "Wastewater")</f>
        <v>65</v>
      </c>
      <c r="D49" s="143" t="str">
        <f>IF(C49="",ROUGH!$C$6,ROUGH!$C$7)</f>
        <v>OK</v>
      </c>
      <c r="E49" s="153" t="s">
        <v>191</v>
      </c>
    </row>
    <row r="50" spans="1:5" s="87" customFormat="1" x14ac:dyDescent="0.25">
      <c r="A50" s="140" t="s">
        <v>103</v>
      </c>
      <c r="B50" s="141" t="s">
        <v>363</v>
      </c>
      <c r="C50" s="144">
        <f>SUMIFS(Inputs!O:O,Inputs!B:B, "Watewater to oceans", Inputs!D:D, "Discharge")</f>
        <v>35</v>
      </c>
      <c r="D50" s="143" t="str">
        <f>IF(C50="",ROUGH!$C$6,ROUGH!$C$7)</f>
        <v>OK</v>
      </c>
      <c r="E50" s="153" t="s">
        <v>185</v>
      </c>
    </row>
    <row r="51" spans="1:5" s="87" customFormat="1" x14ac:dyDescent="0.25">
      <c r="A51" s="140" t="s">
        <v>182</v>
      </c>
      <c r="B51" s="141" t="s">
        <v>239</v>
      </c>
      <c r="C51" s="144">
        <f>SUMIFS(Inputs!N:N,Inputs!D:D, "Withdrawal")</f>
        <v>185</v>
      </c>
      <c r="D51" s="143" t="str">
        <f>IF(C51="",ROUGH!$C$6,ROUGH!$C$7)</f>
        <v>OK</v>
      </c>
      <c r="E51" s="153" t="s">
        <v>192</v>
      </c>
    </row>
    <row r="52" spans="1:5" s="87" customFormat="1" x14ac:dyDescent="0.25">
      <c r="A52" s="140" t="s">
        <v>183</v>
      </c>
      <c r="B52" s="141" t="s">
        <v>364</v>
      </c>
      <c r="C52" s="144">
        <f>C47-C49</f>
        <v>185</v>
      </c>
      <c r="D52" s="143" t="str">
        <f>IF(C52="",ROUGH!$C$6,ROUGH!$C$7)</f>
        <v>OK</v>
      </c>
      <c r="E52" s="153" t="s">
        <v>193</v>
      </c>
    </row>
    <row r="53" spans="1:5" s="87" customFormat="1" x14ac:dyDescent="0.25">
      <c r="A53" s="140" t="s">
        <v>184</v>
      </c>
      <c r="B53" s="141" t="s">
        <v>178</v>
      </c>
      <c r="C53" s="144">
        <f>C52/ (C8/ 1000000)</f>
        <v>37</v>
      </c>
      <c r="D53" s="143" t="str">
        <f>IF(C53="",ROUGH!$C$6,ROUGH!$C$7)</f>
        <v>OK</v>
      </c>
      <c r="E53" s="153" t="s">
        <v>194</v>
      </c>
    </row>
    <row r="54" spans="1:5" s="84" customFormat="1" x14ac:dyDescent="0.3">
      <c r="A54" s="95"/>
      <c r="B54" s="62"/>
      <c r="C54" s="63"/>
      <c r="D54" s="93"/>
      <c r="E54" s="154"/>
    </row>
    <row r="55" spans="1:5" s="87" customFormat="1" x14ac:dyDescent="0.3">
      <c r="A55" s="95" t="s">
        <v>197</v>
      </c>
      <c r="B55" s="62" t="s">
        <v>204</v>
      </c>
      <c r="C55" s="63"/>
      <c r="D55" s="93"/>
      <c r="E55" s="153"/>
    </row>
    <row r="56" spans="1:5" s="87" customFormat="1" ht="30.6" x14ac:dyDescent="0.3">
      <c r="A56" s="157" t="s">
        <v>198</v>
      </c>
      <c r="B56" s="141" t="s">
        <v>201</v>
      </c>
      <c r="C56" s="148">
        <f>_xlfn.XLOOKUP(Metrics!B56, Inputs!B:B, Inputs!L:L, "")</f>
        <v>0</v>
      </c>
      <c r="D56" s="143" t="str">
        <f>IF(C56="",ROUGH!$C$6,ROUGH!$C$7)</f>
        <v>OK</v>
      </c>
      <c r="E56" s="153"/>
    </row>
    <row r="57" spans="1:5" s="87" customFormat="1" x14ac:dyDescent="0.25">
      <c r="A57" s="89"/>
      <c r="B57" s="59"/>
      <c r="C57" s="90"/>
      <c r="D57" s="93"/>
      <c r="E57" s="153"/>
    </row>
    <row r="58" spans="1:5" s="84" customFormat="1" x14ac:dyDescent="0.3">
      <c r="A58" s="89" t="s">
        <v>224</v>
      </c>
      <c r="B58" s="62" t="s">
        <v>195</v>
      </c>
      <c r="C58" s="90"/>
      <c r="D58" s="93"/>
      <c r="E58" s="154"/>
    </row>
    <row r="59" spans="1:5" s="87" customFormat="1" x14ac:dyDescent="0.25">
      <c r="A59" s="140" t="s">
        <v>225</v>
      </c>
      <c r="B59" s="141" t="s">
        <v>217</v>
      </c>
      <c r="C59" s="147">
        <f>_xlfn.XLOOKUP(Metrics!B59, Inputs!B:B, Inputs!L:L, "")</f>
        <v>-0.3</v>
      </c>
      <c r="D59" s="143" t="str">
        <f>IF(C59="",ROUGH!$C$6,ROUGH!$C$7)</f>
        <v>OK</v>
      </c>
      <c r="E59" s="153" t="s">
        <v>189</v>
      </c>
    </row>
    <row r="60" spans="1:5" s="87" customFormat="1" x14ac:dyDescent="0.25">
      <c r="A60" s="140" t="s">
        <v>226</v>
      </c>
      <c r="B60" s="141" t="s">
        <v>218</v>
      </c>
      <c r="C60" s="147">
        <f>_xlfn.XLOOKUP(Metrics!B60, Inputs!B:B, Inputs!L:L, "")</f>
        <v>-0.25</v>
      </c>
      <c r="D60" s="143" t="str">
        <f>IF(C60="",ROUGH!$C$6,ROUGH!$C$7)</f>
        <v>OK</v>
      </c>
      <c r="E60" s="153" t="s">
        <v>189</v>
      </c>
    </row>
    <row r="61" spans="1:5" s="87" customFormat="1" x14ac:dyDescent="0.25">
      <c r="A61" s="140" t="s">
        <v>227</v>
      </c>
      <c r="B61" s="141" t="s">
        <v>362</v>
      </c>
      <c r="C61" s="148">
        <f>_xlfn.XLOOKUP(Metrics!B61, Inputs!B:B, Inputs!L:L, "")</f>
        <v>100000</v>
      </c>
      <c r="D61" s="143" t="str">
        <f>IF(C61="",ROUGH!$C$6,ROUGH!$C$7)</f>
        <v>OK</v>
      </c>
      <c r="E61" s="153" t="s">
        <v>196</v>
      </c>
    </row>
    <row r="62" spans="1:5" s="87" customFormat="1" x14ac:dyDescent="0.25">
      <c r="A62" s="89"/>
      <c r="B62" s="59"/>
      <c r="C62" s="90"/>
      <c r="D62" s="93"/>
      <c r="E62" s="153"/>
    </row>
    <row r="63" spans="1:5" s="84" customFormat="1" x14ac:dyDescent="0.3">
      <c r="A63" s="89" t="s">
        <v>230</v>
      </c>
      <c r="B63" s="62" t="s">
        <v>270</v>
      </c>
      <c r="C63" s="90"/>
      <c r="D63" s="93"/>
      <c r="E63" s="154"/>
    </row>
    <row r="64" spans="1:5" s="84" customFormat="1" x14ac:dyDescent="0.3">
      <c r="A64" s="89" t="s">
        <v>231</v>
      </c>
      <c r="B64" s="62" t="s">
        <v>222</v>
      </c>
      <c r="C64" s="90"/>
      <c r="D64" s="93"/>
      <c r="E64" s="154"/>
    </row>
    <row r="65" spans="1:5" s="87" customFormat="1" x14ac:dyDescent="0.25">
      <c r="A65" s="140" t="s">
        <v>255</v>
      </c>
      <c r="B65" s="141" t="s">
        <v>387</v>
      </c>
      <c r="C65" s="158">
        <f>SUMIFS(Inputs!L:L, Inputs!C:C, "Waste", Inputs!E:E, "Non-Hazardous Waste", Inputs!D:D, "Reused")</f>
        <v>7.5024999999999995</v>
      </c>
      <c r="D65" s="143" t="str">
        <f>IF(C65="",ROUGH!$C$6,ROUGH!$C$7)</f>
        <v>OK</v>
      </c>
      <c r="E65" s="153" t="s">
        <v>199</v>
      </c>
    </row>
    <row r="66" spans="1:5" s="87" customFormat="1" x14ac:dyDescent="0.25">
      <c r="A66" s="140" t="s">
        <v>257</v>
      </c>
      <c r="B66" s="141" t="s">
        <v>388</v>
      </c>
      <c r="C66" s="158">
        <f>SUMIFS(Inputs!L:L, Inputs!C:C, "Waste", Inputs!E:E, "Non-Hazardous Waste", Inputs!D:D, "Recycled")</f>
        <v>2.0049999999999999</v>
      </c>
      <c r="D66" s="143" t="str">
        <f>IF(C66="",ROUGH!$C$6,ROUGH!$C$7)</f>
        <v>OK</v>
      </c>
      <c r="E66" s="153" t="s">
        <v>199</v>
      </c>
    </row>
    <row r="67" spans="1:5" s="87" customFormat="1" x14ac:dyDescent="0.25">
      <c r="A67" s="140" t="s">
        <v>258</v>
      </c>
      <c r="B67" s="141" t="s">
        <v>389</v>
      </c>
      <c r="C67" s="158">
        <f>SUMIFS(Inputs!L:L, Inputs!C:C, "Waste", Inputs!E:E, "Non-Hazardous Waste", Inputs!D:D, "Incineration")</f>
        <v>0</v>
      </c>
      <c r="D67" s="143" t="str">
        <f>IF(C67="",ROUGH!$C$6,ROUGH!$C$7)</f>
        <v>OK</v>
      </c>
      <c r="E67" s="153" t="s">
        <v>199</v>
      </c>
    </row>
    <row r="68" spans="1:5" s="87" customFormat="1" x14ac:dyDescent="0.25">
      <c r="A68" s="140" t="s">
        <v>259</v>
      </c>
      <c r="B68" s="141" t="s">
        <v>390</v>
      </c>
      <c r="C68" s="158">
        <f>SUMIFS(Inputs!L:L, Inputs!C:C, "Waste", Inputs!E:E, "Non-Hazardous Waste", Inputs!D:D, "Landfilling")</f>
        <v>3.0449999999999999</v>
      </c>
      <c r="D68" s="143" t="str">
        <f>IF(C68="",ROUGH!$C$6,ROUGH!$C$7)</f>
        <v>OK</v>
      </c>
      <c r="E68" s="153" t="s">
        <v>199</v>
      </c>
    </row>
    <row r="69" spans="1:5" s="87" customFormat="1" x14ac:dyDescent="0.25">
      <c r="A69" s="140" t="s">
        <v>260</v>
      </c>
      <c r="B69" s="141" t="s">
        <v>391</v>
      </c>
      <c r="C69" s="158">
        <f>SUMIFS(Inputs!L:L,  Inputs!C:C, "Waste", Inputs!E:E, "Non-Hazardous Waste", Inputs!D:D, "Other Methods")</f>
        <v>0</v>
      </c>
      <c r="D69" s="143" t="str">
        <f>IF(C69="",ROUGH!$C$6,ROUGH!$C$7)</f>
        <v>OK</v>
      </c>
      <c r="E69" s="153" t="s">
        <v>199</v>
      </c>
    </row>
    <row r="70" spans="1:5" s="87" customFormat="1" x14ac:dyDescent="0.25">
      <c r="A70" s="140" t="s">
        <v>261</v>
      </c>
      <c r="B70" s="141" t="s">
        <v>289</v>
      </c>
      <c r="C70" s="158">
        <f>SUM(C65:C69)</f>
        <v>12.5525</v>
      </c>
      <c r="D70" s="143" t="str">
        <f>IF(C70="",ROUGH!$C$6,ROUGH!$C$7)</f>
        <v>OK</v>
      </c>
      <c r="E70" s="153" t="s">
        <v>199</v>
      </c>
    </row>
    <row r="71" spans="1:5" s="87" customFormat="1" x14ac:dyDescent="0.25">
      <c r="A71" s="89"/>
      <c r="B71" s="59"/>
      <c r="C71" s="63"/>
      <c r="D71" s="93"/>
      <c r="E71" s="153"/>
    </row>
    <row r="72" spans="1:5" s="84" customFormat="1" x14ac:dyDescent="0.3">
      <c r="A72" s="89" t="s">
        <v>262</v>
      </c>
      <c r="B72" s="62" t="s">
        <v>223</v>
      </c>
      <c r="C72" s="90"/>
      <c r="D72" s="93"/>
      <c r="E72" s="154"/>
    </row>
    <row r="73" spans="1:5" s="84" customFormat="1" x14ac:dyDescent="0.3">
      <c r="A73" s="140" t="s">
        <v>263</v>
      </c>
      <c r="B73" s="141" t="s">
        <v>399</v>
      </c>
      <c r="C73" s="158">
        <f>SUMIFS(Inputs!L:L,  Inputs!C:C, "Waste", Inputs!E:E, "Hazardous Waste", Inputs!D:D, "Water Emission")</f>
        <v>5.0000000000000001E-3</v>
      </c>
      <c r="D73" s="143" t="str">
        <f>IF(C73="",ROUGH!$C$6,ROUGH!$C$7)</f>
        <v>OK</v>
      </c>
      <c r="E73" s="153" t="s">
        <v>199</v>
      </c>
    </row>
    <row r="74" spans="1:5" s="87" customFormat="1" x14ac:dyDescent="0.25">
      <c r="A74" s="140" t="s">
        <v>264</v>
      </c>
      <c r="B74" s="141" t="s">
        <v>400</v>
      </c>
      <c r="C74" s="158">
        <f>SUMIFS(Inputs!L:L, Inputs!C:C, "Waste", Inputs!E:E, "Hazardous Waste", Inputs!D:D, "Incineration")</f>
        <v>7.5000000000000011E-2</v>
      </c>
      <c r="D74" s="143" t="str">
        <f>IF(C74="",ROUGH!$C$6,ROUGH!$C$7)</f>
        <v>OK</v>
      </c>
      <c r="E74" s="153" t="s">
        <v>199</v>
      </c>
    </row>
    <row r="75" spans="1:5" s="87" customFormat="1" x14ac:dyDescent="0.25">
      <c r="A75" s="140" t="s">
        <v>265</v>
      </c>
      <c r="B75" s="141" t="s">
        <v>401</v>
      </c>
      <c r="C75" s="158">
        <f>SUMIFS(Inputs!L:L, Inputs!C:C, "Waste", Inputs!E:E, "Hazardous Waste", Inputs!D:D, "Landfilling")</f>
        <v>0</v>
      </c>
      <c r="D75" s="143" t="str">
        <f>IF(C75="",ROUGH!$C$6,ROUGH!$C$7)</f>
        <v>OK</v>
      </c>
      <c r="E75" s="153" t="s">
        <v>199</v>
      </c>
    </row>
    <row r="76" spans="1:5" s="87" customFormat="1" x14ac:dyDescent="0.25">
      <c r="A76" s="140" t="s">
        <v>266</v>
      </c>
      <c r="B76" s="141" t="s">
        <v>402</v>
      </c>
      <c r="C76" s="158">
        <f>SUMIFS(Inputs!L:L, Inputs!C:C, "Waste", Inputs!E:E, "Hazardous Waste", Inputs!D:D, "Other Methods")</f>
        <v>0</v>
      </c>
      <c r="D76" s="143" t="str">
        <f>IF(C76="",ROUGH!$C$6,ROUGH!$C$7)</f>
        <v>OK</v>
      </c>
      <c r="E76" s="153" t="s">
        <v>199</v>
      </c>
    </row>
    <row r="77" spans="1:5" s="87" customFormat="1" x14ac:dyDescent="0.25">
      <c r="A77" s="140" t="s">
        <v>267</v>
      </c>
      <c r="B77" s="141" t="s">
        <v>403</v>
      </c>
      <c r="C77" s="158">
        <f>SUMIFS(Inputs!L:L, Inputs!C:C, "Waste", Inputs!E:E, "Hazardous Waste", Inputs!D:D, "Recycled")</f>
        <v>0</v>
      </c>
      <c r="D77" s="143" t="str">
        <f>IF(C77="",ROUGH!$C$6,ROUGH!$C$7)</f>
        <v>OK</v>
      </c>
      <c r="E77" s="153" t="s">
        <v>199</v>
      </c>
    </row>
    <row r="78" spans="1:5" s="87" customFormat="1" x14ac:dyDescent="0.25">
      <c r="A78" s="140" t="s">
        <v>268</v>
      </c>
      <c r="B78" s="141" t="s">
        <v>404</v>
      </c>
      <c r="C78" s="158">
        <f>SUMIFS(Inputs!L:L, Inputs!C:C, "Waste", Inputs!E:E, "Hazardous Waste", Inputs!D:D, "Recovered")</f>
        <v>0</v>
      </c>
      <c r="D78" s="143" t="str">
        <f>IF(C78="",ROUGH!$C$6,ROUGH!$C$7)</f>
        <v>OK</v>
      </c>
      <c r="E78" s="153" t="s">
        <v>199</v>
      </c>
    </row>
    <row r="79" spans="1:5" s="87" customFormat="1" x14ac:dyDescent="0.25">
      <c r="A79" s="140" t="s">
        <v>269</v>
      </c>
      <c r="B79" s="141" t="s">
        <v>405</v>
      </c>
      <c r="C79" s="158">
        <f>SUM(C73:C78)</f>
        <v>8.0000000000000016E-2</v>
      </c>
      <c r="D79" s="143" t="str">
        <f>IF(C79="",ROUGH!$C$6,ROUGH!$C$7)</f>
        <v>OK</v>
      </c>
      <c r="E79" s="153" t="s">
        <v>199</v>
      </c>
    </row>
    <row r="80" spans="1:5" s="87" customFormat="1" x14ac:dyDescent="0.25">
      <c r="A80" s="89"/>
      <c r="B80" s="59"/>
      <c r="C80" s="63"/>
      <c r="D80" s="93"/>
      <c r="E80" s="153"/>
    </row>
    <row r="81" spans="1:5" s="84" customFormat="1" x14ac:dyDescent="0.3">
      <c r="A81" s="89" t="s">
        <v>262</v>
      </c>
      <c r="B81" s="62" t="s">
        <v>272</v>
      </c>
      <c r="C81" s="90"/>
      <c r="D81" s="93"/>
      <c r="E81" s="154"/>
    </row>
    <row r="82" spans="1:5" s="84" customFormat="1" x14ac:dyDescent="0.3">
      <c r="A82" s="140" t="s">
        <v>263</v>
      </c>
      <c r="B82" s="141" t="s">
        <v>276</v>
      </c>
      <c r="C82" s="158" t="s">
        <v>274</v>
      </c>
      <c r="D82" s="143" t="str">
        <f>IF(C82="",ROUGH!$C$6,ROUGH!$C$7)</f>
        <v>OK</v>
      </c>
      <c r="E82" s="153" t="s">
        <v>273</v>
      </c>
    </row>
    <row r="83" spans="1:5" s="87" customFormat="1" x14ac:dyDescent="0.25">
      <c r="A83" s="140" t="s">
        <v>264</v>
      </c>
      <c r="B83" s="141" t="s">
        <v>275</v>
      </c>
      <c r="C83" s="158"/>
      <c r="D83" s="159" t="str">
        <f>IF(C83="",ROUGH!$C$6,ROUGH!$C$7)</f>
        <v>ERROR</v>
      </c>
      <c r="E83" s="153" t="s">
        <v>277</v>
      </c>
    </row>
    <row r="84" spans="1:5" s="87" customFormat="1" x14ac:dyDescent="0.25">
      <c r="A84" s="89"/>
      <c r="B84" s="59"/>
      <c r="C84" s="90"/>
      <c r="D84" s="93"/>
      <c r="E84" s="153"/>
    </row>
    <row r="85" spans="1:5" s="84" customFormat="1" x14ac:dyDescent="0.3">
      <c r="A85" s="89" t="s">
        <v>286</v>
      </c>
      <c r="B85" s="62" t="s">
        <v>287</v>
      </c>
      <c r="C85" s="90"/>
      <c r="D85" s="93"/>
      <c r="E85" s="154"/>
    </row>
    <row r="86" spans="1:5" s="84" customFormat="1" x14ac:dyDescent="0.3">
      <c r="A86" s="149" t="s">
        <v>288</v>
      </c>
      <c r="B86" s="150" t="s">
        <v>384</v>
      </c>
      <c r="C86" s="160">
        <f>SUMIFS(Inputs!N:N, Inputs!C:C, "Material", Inputs!E:E, "Manufacturing")</f>
        <v>20</v>
      </c>
      <c r="D86" s="151" t="str">
        <f>IF(C86="",ROUGH!$C$6,ROUGH!$C$7)</f>
        <v>OK</v>
      </c>
      <c r="E86" s="154"/>
    </row>
    <row r="87" spans="1:5" s="84" customFormat="1" x14ac:dyDescent="0.3">
      <c r="A87" s="149" t="s">
        <v>292</v>
      </c>
      <c r="B87" s="150" t="s">
        <v>392</v>
      </c>
      <c r="C87" s="160">
        <f>SUMIFS(Inputs!N:N, Inputs!C:C, "Material", Inputs!E:E, "Packaging")</f>
        <v>9</v>
      </c>
      <c r="D87" s="151" t="str">
        <f>IF(C87="",ROUGH!$C$6,ROUGH!$C$7)</f>
        <v>OK</v>
      </c>
      <c r="E87" s="154"/>
    </row>
    <row r="88" spans="1:5" s="84" customFormat="1" x14ac:dyDescent="0.3">
      <c r="A88" s="149" t="s">
        <v>256</v>
      </c>
      <c r="B88" s="150" t="s">
        <v>393</v>
      </c>
      <c r="C88" s="160">
        <f>C86+C87</f>
        <v>29</v>
      </c>
      <c r="D88" s="151" t="str">
        <f>IF(C88="",ROUGH!$C$6,ROUGH!$C$7)</f>
        <v>OK</v>
      </c>
      <c r="E88" s="154"/>
    </row>
    <row r="89" spans="1:5" s="87" customFormat="1" x14ac:dyDescent="0.25">
      <c r="A89" s="149" t="s">
        <v>327</v>
      </c>
      <c r="B89" s="150" t="s">
        <v>386</v>
      </c>
      <c r="C89" s="161">
        <f>SUMIFS(Inputs!L:L,  Inputs!C:C, "Material", Inputs!D:D, "Single-Use", Inputs!E:E, "Packaging")</f>
        <v>2</v>
      </c>
      <c r="D89" s="151" t="str">
        <f>IF(C89="",ROUGH!$C$6,ROUGH!$C$7)</f>
        <v>OK</v>
      </c>
      <c r="E89" s="153"/>
    </row>
    <row r="90" spans="1:5" s="84" customFormat="1" x14ac:dyDescent="0.3">
      <c r="A90" s="149" t="s">
        <v>328</v>
      </c>
      <c r="B90" s="150" t="s">
        <v>324</v>
      </c>
      <c r="C90" s="161">
        <f>SUMIFS(Inputs!L:L,  Inputs!C:C, "Material", Inputs!E:E, "Packaging")</f>
        <v>11.5</v>
      </c>
      <c r="D90" s="151" t="str">
        <f>IF(C90="",ROUGH!$C$6,ROUGH!$C$7)</f>
        <v>OK</v>
      </c>
      <c r="E90" s="154"/>
    </row>
    <row r="91" spans="1:5" s="87" customFormat="1" x14ac:dyDescent="0.25">
      <c r="A91" s="149" t="s">
        <v>329</v>
      </c>
      <c r="B91" s="150" t="s">
        <v>318</v>
      </c>
      <c r="C91" s="162">
        <f>C89/C90</f>
        <v>0.17391304347826086</v>
      </c>
      <c r="D91" s="151" t="str">
        <f>IF(C91="",ROUGH!$C$6,ROUGH!$C$7)</f>
        <v>OK</v>
      </c>
      <c r="E91" s="153"/>
    </row>
    <row r="92" spans="1:5" s="87" customFormat="1" x14ac:dyDescent="0.25">
      <c r="A92" s="149" t="s">
        <v>375</v>
      </c>
      <c r="B92" s="150" t="s">
        <v>395</v>
      </c>
      <c r="C92" s="162"/>
      <c r="D92" s="151" t="str">
        <f>IF(C92="",ROUGH!$C$6,ROUGH!$C$7)</f>
        <v>ERROR</v>
      </c>
      <c r="E92" s="153"/>
    </row>
    <row r="93" spans="1:5" s="87" customFormat="1" x14ac:dyDescent="0.25">
      <c r="A93" s="149" t="s">
        <v>394</v>
      </c>
      <c r="B93" s="150" t="s">
        <v>325</v>
      </c>
      <c r="C93" s="161">
        <f>SUMIFS(Inputs!L:L, Inputs!C:C, "Material", Inputs!E:E, "Manufacturing")</f>
        <v>170.5</v>
      </c>
      <c r="D93" s="151" t="str">
        <f>IF(C93="",ROUGH!$C$6,ROUGH!$C$7)</f>
        <v>OK</v>
      </c>
      <c r="E93" s="153"/>
    </row>
    <row r="94" spans="1:5" s="87" customFormat="1" x14ac:dyDescent="0.25">
      <c r="A94" s="149" t="s">
        <v>394</v>
      </c>
      <c r="B94" s="150" t="s">
        <v>326</v>
      </c>
      <c r="C94" s="161">
        <f>SUMIFS(Inputs!L:L,Inputs!C:C, "Material")</f>
        <v>182</v>
      </c>
      <c r="D94" s="151" t="str">
        <f>IF(C94="",ROUGH!$C$6,ROUGH!$C$7)</f>
        <v>OK</v>
      </c>
      <c r="E94" s="153"/>
    </row>
    <row r="95" spans="1:5" s="87" customFormat="1" x14ac:dyDescent="0.25">
      <c r="A95" s="89"/>
      <c r="B95" s="59"/>
      <c r="C95" s="63"/>
      <c r="D95" s="93"/>
      <c r="E95" s="153"/>
    </row>
    <row r="96" spans="1:5" s="84" customFormat="1" x14ac:dyDescent="0.3">
      <c r="A96" s="89" t="s">
        <v>0</v>
      </c>
      <c r="B96" s="62" t="s">
        <v>5</v>
      </c>
      <c r="C96" s="96"/>
      <c r="D96" s="93"/>
      <c r="E96" s="154"/>
    </row>
    <row r="97" spans="1:5" s="84" customFormat="1" x14ac:dyDescent="0.3">
      <c r="A97" s="89" t="s">
        <v>278</v>
      </c>
      <c r="B97" s="62" t="s">
        <v>298</v>
      </c>
      <c r="C97" s="90"/>
      <c r="D97" s="93"/>
      <c r="E97" s="154"/>
    </row>
    <row r="98" spans="1:5" s="87" customFormat="1" x14ac:dyDescent="0.25">
      <c r="A98" s="140" t="s">
        <v>314</v>
      </c>
      <c r="B98" s="141" t="s">
        <v>310</v>
      </c>
      <c r="C98" s="144">
        <f>SUMIFS(Inputs!L:L, Inputs!D:D, "Sensitive Area", Inputs!E:E, "Land Use")</f>
        <v>250</v>
      </c>
      <c r="D98" s="163" t="str">
        <f>IF(C98="",ROUGH!$C$6,ROUGH!$C$7)</f>
        <v>OK</v>
      </c>
      <c r="E98" s="153"/>
    </row>
    <row r="99" spans="1:5" s="87" customFormat="1" x14ac:dyDescent="0.25">
      <c r="A99" s="140" t="s">
        <v>315</v>
      </c>
      <c r="B99" s="141" t="s">
        <v>312</v>
      </c>
      <c r="C99" s="144">
        <f>SUMIFS(Inputs!L:L, Inputs!D:D, "Sealed", Inputs!E:E, "Land Use")</f>
        <v>30</v>
      </c>
      <c r="D99" s="163" t="str">
        <f>IF(C99="",ROUGH!$C$6,ROUGH!$C$7)</f>
        <v>OK</v>
      </c>
      <c r="E99" s="153"/>
    </row>
    <row r="100" spans="1:5" s="87" customFormat="1" x14ac:dyDescent="0.25">
      <c r="A100" s="140" t="s">
        <v>316</v>
      </c>
      <c r="B100" s="141" t="s">
        <v>311</v>
      </c>
      <c r="C100" s="144">
        <f>SUMIFS(Inputs!L:L, Inputs!E:E, "Land Use")</f>
        <v>280</v>
      </c>
      <c r="D100" s="163" t="str">
        <f>IF(C100="",ROUGH!$C$6,ROUGH!$C$7)</f>
        <v>OK</v>
      </c>
      <c r="E100" s="153"/>
    </row>
    <row r="101" spans="1:5" s="87" customFormat="1" x14ac:dyDescent="0.25">
      <c r="A101" s="89"/>
      <c r="B101" s="59"/>
      <c r="C101" s="90"/>
      <c r="D101" s="93"/>
      <c r="E101" s="153"/>
    </row>
    <row r="102" spans="1:5" s="84" customFormat="1" x14ac:dyDescent="0.3">
      <c r="A102" s="89" t="s">
        <v>434</v>
      </c>
      <c r="B102" s="62" t="s">
        <v>450</v>
      </c>
      <c r="C102" s="96" t="s">
        <v>451</v>
      </c>
      <c r="D102" s="62"/>
      <c r="E102" s="154"/>
    </row>
    <row r="103" spans="1:5" s="87" customFormat="1" ht="30" x14ac:dyDescent="0.25">
      <c r="A103" s="140" t="s">
        <v>437</v>
      </c>
      <c r="B103" s="141" t="s">
        <v>440</v>
      </c>
      <c r="C103" s="144" t="s">
        <v>274</v>
      </c>
      <c r="D103" s="163" t="str">
        <f>IF(C103="",ROUGH!$C$6,ROUGH!$C$7)</f>
        <v>OK</v>
      </c>
      <c r="E103" s="153"/>
    </row>
    <row r="104" spans="1:5" s="87" customFormat="1" x14ac:dyDescent="0.25">
      <c r="A104" s="140" t="s">
        <v>439</v>
      </c>
      <c r="B104" s="141" t="s">
        <v>447</v>
      </c>
      <c r="C104" s="144" t="s">
        <v>448</v>
      </c>
      <c r="D104" s="163" t="str">
        <f>IF(C104="",ROUGH!$C$6,ROUGH!$C$7)</f>
        <v>OK</v>
      </c>
      <c r="E104" s="153"/>
    </row>
    <row r="105" spans="1:5" s="87" customFormat="1" x14ac:dyDescent="0.25">
      <c r="A105" s="140"/>
      <c r="B105" s="141" t="s">
        <v>449</v>
      </c>
      <c r="C105" s="144" t="s">
        <v>448</v>
      </c>
      <c r="D105" s="163" t="str">
        <f>IF(C105="",ROUGH!$C$6,ROUGH!$C$7)</f>
        <v>OK</v>
      </c>
      <c r="E105" s="153"/>
    </row>
    <row r="106" spans="1:5" s="87" customFormat="1" x14ac:dyDescent="0.25">
      <c r="A106" s="89"/>
      <c r="B106" s="59"/>
      <c r="C106" s="90"/>
      <c r="D106" s="93"/>
      <c r="E106" s="153"/>
    </row>
    <row r="107" spans="1:5" s="84" customFormat="1" x14ac:dyDescent="0.3">
      <c r="A107" s="89" t="s">
        <v>278</v>
      </c>
      <c r="B107" s="62" t="s">
        <v>442</v>
      </c>
      <c r="C107" s="90"/>
      <c r="D107" s="93"/>
      <c r="E107" s="154"/>
    </row>
    <row r="108" spans="1:5" s="87" customFormat="1" x14ac:dyDescent="0.25">
      <c r="A108" s="140" t="s">
        <v>314</v>
      </c>
      <c r="B108" s="141" t="s">
        <v>441</v>
      </c>
      <c r="C108" s="144">
        <f>SUMIFS(Inputs!L:L, Inputs!D:D, "Sensitive Area", Inputs!E:E, "Water Usage")</f>
        <v>295</v>
      </c>
      <c r="D108" s="163" t="str">
        <f>IF(C108="",ROUGH!$C$6,ROUGH!$C$7)</f>
        <v>OK</v>
      </c>
      <c r="E108" s="153"/>
    </row>
    <row r="109" spans="1:5" s="87" customFormat="1" x14ac:dyDescent="0.25">
      <c r="A109" s="140" t="s">
        <v>315</v>
      </c>
      <c r="B109" s="141" t="s">
        <v>444</v>
      </c>
      <c r="C109" s="144">
        <f>(Inputs!L101-Inputs!H46)/Inputs!L101</f>
        <v>0.23076923076923078</v>
      </c>
      <c r="D109" s="163" t="str">
        <f>IF(C109="",ROUGH!$C$6,ROUGH!$C$7)</f>
        <v>OK</v>
      </c>
      <c r="E109" s="153"/>
    </row>
    <row r="110" spans="1:5" s="87" customFormat="1" x14ac:dyDescent="0.25">
      <c r="A110" s="140" t="s">
        <v>316</v>
      </c>
      <c r="B110" s="141" t="s">
        <v>446</v>
      </c>
      <c r="C110" s="144">
        <f>(Inputs!L102-Inputs!H44)/Inputs!L102</f>
        <v>9.0909090909090912E-2</v>
      </c>
      <c r="D110" s="163" t="str">
        <f>IF(C110="",ROUGH!$C$6,ROUGH!$C$7)</f>
        <v>OK</v>
      </c>
      <c r="E110" s="153"/>
    </row>
    <row r="111" spans="1:5" s="87" customFormat="1" x14ac:dyDescent="0.25">
      <c r="A111" s="140" t="s">
        <v>438</v>
      </c>
      <c r="B111" s="141" t="s">
        <v>445</v>
      </c>
      <c r="C111" s="144">
        <f>(Inputs!L100-Inputs!H45)/Inputs!L100</f>
        <v>0.16666666666666666</v>
      </c>
      <c r="D111" s="163" t="str">
        <f>IF(C111="",ROUGH!$C$6,ROUGH!$C$7)</f>
        <v>OK</v>
      </c>
      <c r="E111" s="153"/>
    </row>
    <row r="112" spans="1:5" s="87" customFormat="1" x14ac:dyDescent="0.25">
      <c r="A112" s="140"/>
      <c r="B112" s="141" t="s">
        <v>443</v>
      </c>
      <c r="C112" s="144">
        <f>C108-C47</f>
        <v>45</v>
      </c>
      <c r="D112" s="163" t="str">
        <f>IF(C112="",ROUGH!$C$6,ROUGH!$C$7)</f>
        <v>OK</v>
      </c>
      <c r="E112" s="153"/>
    </row>
    <row r="113" x14ac:dyDescent="0.25"/>
    <row r="114" x14ac:dyDescent="0.25"/>
  </sheetData>
  <conditionalFormatting sqref="D1:D101 D103:D1048576">
    <cfRule type="containsText" dxfId="4" priority="1" operator="containsText" text="ERROR">
      <formula>NOT(ISERROR(SEARCH("ERROR",D1)))</formula>
    </cfRule>
    <cfRule type="containsErrors" dxfId="3" priority="3">
      <formula>ISERROR(D1)</formula>
    </cfRule>
    <cfRule type="containsText" dxfId="2" priority="4" operator="containsText" text="OK">
      <formula>NOT(ISERROR(SEARCH("OK",D1)))</formula>
    </cfRule>
  </conditionalFormatting>
  <dataValidations count="1">
    <dataValidation type="list" allowBlank="1" showInputMessage="1" showErrorMessage="1" sqref="E55 B56" xr:uid="{F848E856-9EC4-4840-9DE4-69008D0521F7}">
      <formula1>FuelList</formula1>
    </dataValidation>
  </dataValidations>
  <pageMargins left="0.39370078740157483" right="0.39370078740157483" top="0.39370078740157483" bottom="0.39370078740157483" header="0.31496062992125984" footer="0.31496062992125984"/>
  <pageSetup paperSize="9" scale="51"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B872-5022-4A73-AC12-4BC70E8C9C7A}">
  <sheetPr codeName="Sheet8">
    <pageSetUpPr fitToPage="1"/>
  </sheetPr>
  <dimension ref="A1:O105"/>
  <sheetViews>
    <sheetView tabSelected="1" topLeftCell="B1" zoomScale="86" workbookViewId="0">
      <pane ySplit="1" topLeftCell="A2" activePane="bottomLeft" state="frozen"/>
      <selection pane="bottomLeft" activeCell="C9" sqref="C9"/>
    </sheetView>
  </sheetViews>
  <sheetFormatPr defaultColWidth="0" defaultRowHeight="15" zeroHeight="1" x14ac:dyDescent="0.25"/>
  <cols>
    <col min="1" max="1" width="8.88671875" style="68" customWidth="1"/>
    <col min="2" max="2" width="56.5546875" style="68" customWidth="1"/>
    <col min="3" max="3" width="18.33203125" style="71" customWidth="1"/>
    <col min="4" max="4" width="21.21875" style="71" customWidth="1"/>
    <col min="5" max="5" width="23.21875" style="71" customWidth="1"/>
    <col min="6" max="6" width="12.33203125" style="71" customWidth="1"/>
    <col min="7" max="7" width="19" style="71" customWidth="1"/>
    <col min="8" max="8" width="17.5546875" style="71" customWidth="1"/>
    <col min="9" max="9" width="20.5546875" style="71" customWidth="1"/>
    <col min="10" max="10" width="26" style="71" customWidth="1"/>
    <col min="11" max="11" width="18.6640625" style="71" customWidth="1"/>
    <col min="12" max="13" width="19.5546875" style="71" customWidth="1"/>
    <col min="14" max="14" width="20.21875" style="71" customWidth="1"/>
    <col min="15" max="15" width="24.33203125" style="71" customWidth="1"/>
    <col min="16" max="16384" width="8.88671875" style="87" hidden="1"/>
  </cols>
  <sheetData>
    <row r="1" spans="1:15" s="83" customFormat="1" ht="31.2" x14ac:dyDescent="0.3">
      <c r="A1" s="60" t="s">
        <v>7</v>
      </c>
      <c r="B1" s="60" t="s">
        <v>215</v>
      </c>
      <c r="C1" s="60" t="s">
        <v>323</v>
      </c>
      <c r="D1" s="60" t="s">
        <v>214</v>
      </c>
      <c r="E1" s="60" t="s">
        <v>213</v>
      </c>
      <c r="F1" s="60" t="s">
        <v>212</v>
      </c>
      <c r="G1" s="60" t="s">
        <v>211</v>
      </c>
      <c r="H1" s="60" t="s">
        <v>210</v>
      </c>
      <c r="I1" s="60" t="s">
        <v>216</v>
      </c>
      <c r="J1" s="60" t="s">
        <v>207</v>
      </c>
      <c r="K1" s="60" t="s">
        <v>209</v>
      </c>
      <c r="L1" s="60" t="s">
        <v>109</v>
      </c>
      <c r="M1" s="60" t="s">
        <v>110</v>
      </c>
      <c r="N1" s="60" t="s">
        <v>90</v>
      </c>
      <c r="O1" s="60" t="s">
        <v>91</v>
      </c>
    </row>
    <row r="2" spans="1:15" s="84" customFormat="1" ht="15.6" x14ac:dyDescent="0.3">
      <c r="A2" s="61"/>
      <c r="B2" s="61"/>
      <c r="C2" s="60"/>
      <c r="D2" s="60"/>
      <c r="E2" s="60"/>
      <c r="F2" s="60"/>
      <c r="G2" s="60" t="s">
        <v>21</v>
      </c>
      <c r="H2" s="60" t="s">
        <v>21</v>
      </c>
      <c r="I2" s="60" t="s">
        <v>85</v>
      </c>
      <c r="J2" s="60" t="s">
        <v>85</v>
      </c>
      <c r="K2" s="60" t="s">
        <v>85</v>
      </c>
      <c r="L2" s="60" t="s">
        <v>85</v>
      </c>
      <c r="M2" s="60" t="s">
        <v>85</v>
      </c>
      <c r="N2" s="60" t="s">
        <v>85</v>
      </c>
      <c r="O2" s="60" t="s">
        <v>85</v>
      </c>
    </row>
    <row r="3" spans="1:15" s="85" customFormat="1" ht="21" x14ac:dyDescent="0.4">
      <c r="A3" s="80" t="s">
        <v>98</v>
      </c>
      <c r="B3" s="80" t="s">
        <v>24</v>
      </c>
      <c r="C3" s="81"/>
      <c r="D3" s="81"/>
      <c r="E3" s="81"/>
      <c r="F3" s="81"/>
      <c r="G3" s="82"/>
      <c r="H3" s="82"/>
      <c r="I3" s="82"/>
      <c r="J3" s="82"/>
      <c r="K3" s="82"/>
      <c r="L3" s="82"/>
      <c r="M3" s="82"/>
      <c r="N3" s="82"/>
      <c r="O3" s="82"/>
    </row>
    <row r="4" spans="1:15" s="86" customFormat="1" ht="17.399999999999999" x14ac:dyDescent="0.3">
      <c r="A4" s="75" t="s">
        <v>26</v>
      </c>
      <c r="B4" s="75" t="s">
        <v>18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</row>
    <row r="5" spans="1:15" s="84" customFormat="1" ht="46.8" x14ac:dyDescent="0.3">
      <c r="A5" s="64"/>
      <c r="B5" s="64" t="s">
        <v>19</v>
      </c>
      <c r="C5" s="65"/>
      <c r="D5" s="65"/>
      <c r="E5" s="65"/>
      <c r="F5" s="65"/>
      <c r="G5" s="65" t="s">
        <v>95</v>
      </c>
      <c r="H5" s="65" t="s">
        <v>97</v>
      </c>
      <c r="I5" s="65" t="s">
        <v>96</v>
      </c>
      <c r="J5" s="65" t="s">
        <v>52</v>
      </c>
      <c r="K5" s="65" t="s">
        <v>345</v>
      </c>
      <c r="L5" s="65" t="s">
        <v>92</v>
      </c>
      <c r="M5" s="65" t="s">
        <v>110</v>
      </c>
      <c r="N5" s="65" t="s">
        <v>93</v>
      </c>
      <c r="O5" s="65" t="s">
        <v>94</v>
      </c>
    </row>
    <row r="6" spans="1:15" x14ac:dyDescent="0.25">
      <c r="B6" s="68" t="s">
        <v>150</v>
      </c>
      <c r="C6" s="67" t="str">
        <f>_xlfn.XLOOKUP(B6, tblConversions[Item], tblConversions[State], "" )</f>
        <v>Energy</v>
      </c>
      <c r="D6" s="67" t="str">
        <f>_xlfn.XLOOKUP(B6, tblConversions[Item], tblConversions[Category], "")</f>
        <v>Scope 2: Location</v>
      </c>
      <c r="E6" s="67" t="str">
        <f>_xlfn.XLOOKUP(B6, tblConversions[Item], tblConversions[Type], "")</f>
        <v>Non-Renewable</v>
      </c>
      <c r="F6" s="67" t="str">
        <f>_xlfn.XLOOKUP(B6, tblConversions[Item], tblConversions[Unit], "")</f>
        <v>MWh</v>
      </c>
      <c r="G6" s="67">
        <v>0</v>
      </c>
      <c r="H6" s="67">
        <v>4000</v>
      </c>
      <c r="I6" s="67">
        <f>G6+H6</f>
        <v>4000</v>
      </c>
      <c r="J6" s="67">
        <f>_xlfn.XLOOKUP(B6, tblConversions[Item], tblConversions[Multiplier], 0)</f>
        <v>1</v>
      </c>
      <c r="K6" s="70">
        <f>_xlfn.XLOOKUP(B6, tblConversions[Item], tblConversions[GHG Factor (t CO2e per Unit)], 0)</f>
        <v>0.81</v>
      </c>
      <c r="L6" s="67">
        <f>I6*J6</f>
        <v>4000</v>
      </c>
      <c r="M6" s="67">
        <f>IF(E6="Renewable", 0, (H6 * K6) / 1000)</f>
        <v>3.24</v>
      </c>
      <c r="N6" s="67">
        <f>IF(E6="Non-Renewable", 0, L6)</f>
        <v>0</v>
      </c>
      <c r="O6" s="67">
        <f>IF(E6="Renewable", 0, L6)</f>
        <v>4000</v>
      </c>
    </row>
    <row r="7" spans="1:15" x14ac:dyDescent="0.25">
      <c r="B7" s="68" t="s">
        <v>136</v>
      </c>
      <c r="C7" s="67" t="str">
        <f>_xlfn.XLOOKUP(B7, tblConversions[Item], tblConversions[State], "" )</f>
        <v>Energy</v>
      </c>
      <c r="D7" s="67" t="str">
        <f>_xlfn.XLOOKUP(B7, tblConversions[Item], tblConversions[Category], "")</f>
        <v>Scope 1</v>
      </c>
      <c r="E7" s="67" t="str">
        <f>_xlfn.XLOOKUP(B7, tblConversions[Item], tblConversions[Type], "")</f>
        <v>Renewable</v>
      </c>
      <c r="F7" s="67" t="str">
        <f>_xlfn.XLOOKUP(B7, tblConversions[Item], tblConversions[Unit], "")</f>
        <v>MWh</v>
      </c>
      <c r="G7" s="67">
        <v>600</v>
      </c>
      <c r="H7" s="67">
        <v>0</v>
      </c>
      <c r="I7" s="67">
        <f t="shared" ref="I7:I8" si="0">G7+H7</f>
        <v>600</v>
      </c>
      <c r="J7" s="67">
        <v>1</v>
      </c>
      <c r="K7" s="70">
        <f>_xlfn.XLOOKUP(B7, tblConversions[Item], tblConversions[GHG Factor (t CO2e per Unit)], 0)</f>
        <v>0</v>
      </c>
      <c r="L7" s="67">
        <f t="shared" ref="L7:L8" si="1">I7*J7</f>
        <v>600</v>
      </c>
      <c r="M7" s="67">
        <f t="shared" ref="M7:M14" si="2">IF(E7="Renewable", 0, (H7 * K7) / 1000)</f>
        <v>0</v>
      </c>
      <c r="N7" s="67">
        <f t="shared" ref="N7:N14" si="3">IF(E7="Non-Renewable", 0, L7)</f>
        <v>600</v>
      </c>
      <c r="O7" s="67">
        <f>IF(E7="Renewable", 0, L7)</f>
        <v>0</v>
      </c>
    </row>
    <row r="8" spans="1:15" x14ac:dyDescent="0.25">
      <c r="B8" s="68" t="s">
        <v>151</v>
      </c>
      <c r="C8" s="67" t="str">
        <f>_xlfn.XLOOKUP(B8, tblConversions[Item], tblConversions[State], "" )</f>
        <v>Energy</v>
      </c>
      <c r="D8" s="67" t="str">
        <f>_xlfn.XLOOKUP(B8, tblConversions[Item], tblConversions[Category], "")</f>
        <v>Scope 1</v>
      </c>
      <c r="E8" s="67" t="str">
        <f>_xlfn.XLOOKUP(B8, tblConversions[Item], tblConversions[Type], "")</f>
        <v>Renewable</v>
      </c>
      <c r="F8" s="67" t="str">
        <f>_xlfn.XLOOKUP(B8, tblConversions[Item], tblConversions[Unit], "")</f>
        <v>MWh</v>
      </c>
      <c r="G8" s="67">
        <v>0</v>
      </c>
      <c r="H8" s="67">
        <v>0</v>
      </c>
      <c r="I8" s="67">
        <f t="shared" si="0"/>
        <v>0</v>
      </c>
      <c r="J8" s="67">
        <v>1</v>
      </c>
      <c r="K8" s="70">
        <f>_xlfn.XLOOKUP(B8, tblConversions[Item], tblConversions[GHG Factor (t CO2e per Unit)], 0)</f>
        <v>0</v>
      </c>
      <c r="L8" s="67">
        <f t="shared" si="1"/>
        <v>0</v>
      </c>
      <c r="M8" s="67">
        <f t="shared" si="2"/>
        <v>0</v>
      </c>
      <c r="N8" s="67">
        <f t="shared" si="3"/>
        <v>0</v>
      </c>
      <c r="O8" s="67">
        <f t="shared" ref="O8:O14" si="4">IF(E8="Renewable", 0, L8)</f>
        <v>0</v>
      </c>
    </row>
    <row r="9" spans="1:15" x14ac:dyDescent="0.25">
      <c r="C9" s="67" t="str">
        <f>_xlfn.XLOOKUP(B9, tblConversions[Item], tblConversions[State], "" )</f>
        <v/>
      </c>
      <c r="D9" s="67"/>
      <c r="E9" s="67"/>
      <c r="F9" s="67"/>
      <c r="G9" s="67"/>
      <c r="H9" s="67"/>
      <c r="I9" s="67"/>
      <c r="J9" s="67"/>
      <c r="K9" s="70"/>
      <c r="L9" s="67"/>
      <c r="M9" s="67"/>
      <c r="N9" s="67"/>
      <c r="O9" s="67"/>
    </row>
    <row r="10" spans="1:15" ht="15.6" x14ac:dyDescent="0.25">
      <c r="B10" s="64" t="s">
        <v>20</v>
      </c>
      <c r="C10" s="67" t="str">
        <f>_xlfn.XLOOKUP(B10, tblConversions[Item], tblConversions[State], "" )</f>
        <v/>
      </c>
      <c r="D10" s="67"/>
      <c r="E10" s="67"/>
      <c r="F10" s="67"/>
      <c r="G10" s="67"/>
      <c r="H10" s="67"/>
      <c r="I10" s="67"/>
      <c r="J10" s="67"/>
      <c r="K10" s="70"/>
      <c r="L10" s="67"/>
      <c r="M10" s="67"/>
      <c r="N10" s="67"/>
      <c r="O10" s="67"/>
    </row>
    <row r="11" spans="1:15" x14ac:dyDescent="0.25">
      <c r="B11" s="68" t="s">
        <v>12</v>
      </c>
      <c r="C11" s="67" t="str">
        <f>_xlfn.XLOOKUP(B11, tblConversions[Item], tblConversions[State], "" )</f>
        <v>Liquid</v>
      </c>
      <c r="D11" s="67" t="str">
        <f>_xlfn.XLOOKUP(B11, tblConversions[Item], tblConversions[Category], "")</f>
        <v>Scope 1</v>
      </c>
      <c r="E11" s="67" t="str">
        <f>_xlfn.XLOOKUP(B11, tblConversions[Item], tblConversions[Type], "")</f>
        <v>Non-Renewable</v>
      </c>
      <c r="F11" s="67" t="str">
        <f>_xlfn.XLOOKUP(B11, tblConversions[Item], tblConversions[Unit], "")</f>
        <v>Litres</v>
      </c>
      <c r="G11" s="67">
        <v>0</v>
      </c>
      <c r="H11" s="67">
        <v>1000</v>
      </c>
      <c r="I11" s="67">
        <f>G11+H11</f>
        <v>1000</v>
      </c>
      <c r="J11" s="67">
        <f>_xlfn.XLOOKUP(B11, tblConversions[Item], tblConversions[Multiplier], 0)</f>
        <v>9.7000000000000003E-3</v>
      </c>
      <c r="K11" s="70">
        <f>_xlfn.XLOOKUP(B11, tblConversions[Item], tblConversions[GHG Factor (t CO2e per Unit)], 0)</f>
        <v>2.5179999999999998</v>
      </c>
      <c r="L11" s="67">
        <f>I11*J11</f>
        <v>9.7000000000000011</v>
      </c>
      <c r="M11" s="67">
        <f>IF(E11="Renewable", 0, (I11 * K11) / 1000)</f>
        <v>2.5179999999999998</v>
      </c>
      <c r="N11" s="67">
        <f t="shared" si="3"/>
        <v>0</v>
      </c>
      <c r="O11" s="67">
        <f t="shared" si="4"/>
        <v>9.7000000000000011</v>
      </c>
    </row>
    <row r="12" spans="1:15" x14ac:dyDescent="0.25">
      <c r="B12" s="68" t="s">
        <v>15</v>
      </c>
      <c r="C12" s="67" t="str">
        <f>_xlfn.XLOOKUP(B12, tblConversions[Item], tblConversions[State], "" )</f>
        <v>Liquid</v>
      </c>
      <c r="D12" s="67" t="str">
        <f>_xlfn.XLOOKUP(B12, tblConversions[Item], tblConversions[Category], "")</f>
        <v>Scope 1</v>
      </c>
      <c r="E12" s="67" t="str">
        <f>_xlfn.XLOOKUP(B12, tblConversions[Item], tblConversions[Type], "")</f>
        <v>Non-Renewable</v>
      </c>
      <c r="F12" s="67" t="str">
        <f>_xlfn.XLOOKUP(B12, tblConversions[Item], tblConversions[Unit], "")</f>
        <v>Litres</v>
      </c>
      <c r="G12" s="67">
        <v>0</v>
      </c>
      <c r="H12" s="67">
        <v>2000</v>
      </c>
      <c r="I12" s="67">
        <f t="shared" ref="I12:I14" si="5">G12+H12</f>
        <v>2000</v>
      </c>
      <c r="J12" s="67">
        <f>_xlfn.XLOOKUP(B12, tblConversions[Item], tblConversions[Multiplier], 0)</f>
        <v>1.06E-2</v>
      </c>
      <c r="K12" s="70">
        <f>_xlfn.XLOOKUP(B12, tblConversions[Item], tblConversions[GHG Factor (t CO2e per Unit)], 0)</f>
        <v>2.6615500000000001</v>
      </c>
      <c r="L12" s="67">
        <f t="shared" ref="L12:L14" si="6">I12*J12</f>
        <v>21.2</v>
      </c>
      <c r="M12" s="67">
        <f t="shared" si="2"/>
        <v>5.3231000000000002</v>
      </c>
      <c r="N12" s="67">
        <f t="shared" si="3"/>
        <v>0</v>
      </c>
      <c r="O12" s="67">
        <f t="shared" si="4"/>
        <v>21.2</v>
      </c>
    </row>
    <row r="13" spans="1:15" x14ac:dyDescent="0.25">
      <c r="B13" s="68" t="s">
        <v>16</v>
      </c>
      <c r="C13" s="67" t="str">
        <f>_xlfn.XLOOKUP(B13, tblConversions[Item], tblConversions[State], "" )</f>
        <v>Liquid</v>
      </c>
      <c r="D13" s="67" t="str">
        <f>_xlfn.XLOOKUP(B13, tblConversions[Item], tblConversions[Category], "")</f>
        <v>Scope 1</v>
      </c>
      <c r="E13" s="67" t="str">
        <f>_xlfn.XLOOKUP(B13, tblConversions[Item], tblConversions[Type], "")</f>
        <v>Non-Renewable</v>
      </c>
      <c r="F13" s="67" t="str">
        <f>_xlfn.XLOOKUP(B13, tblConversions[Item], tblConversions[Unit], "")</f>
        <v>kg</v>
      </c>
      <c r="G13" s="67">
        <v>0</v>
      </c>
      <c r="H13" s="67">
        <v>475</v>
      </c>
      <c r="I13" s="67">
        <f t="shared" si="5"/>
        <v>475</v>
      </c>
      <c r="J13" s="67">
        <f>_xlfn.XLOOKUP(B13, tblConversions[Item], tblConversions[Multiplier], 0)</f>
        <v>1.37E-2</v>
      </c>
      <c r="K13" s="70">
        <f>_xlfn.XLOOKUP(B13, tblConversions[Item], tblConversions[GHG Factor (t CO2e per Unit)], 0)</f>
        <v>2.9393600000000002</v>
      </c>
      <c r="L13" s="67">
        <f t="shared" si="6"/>
        <v>6.5075000000000003</v>
      </c>
      <c r="M13" s="67">
        <f t="shared" si="2"/>
        <v>1.3961960000000002</v>
      </c>
      <c r="N13" s="67">
        <f t="shared" si="3"/>
        <v>0</v>
      </c>
      <c r="O13" s="67">
        <f t="shared" si="4"/>
        <v>6.5075000000000003</v>
      </c>
    </row>
    <row r="14" spans="1:15" x14ac:dyDescent="0.25">
      <c r="B14" s="68" t="s">
        <v>17</v>
      </c>
      <c r="C14" s="67" t="str">
        <f>_xlfn.XLOOKUP(B14, tblConversions[Item], tblConversions[State], "" )</f>
        <v>Gas</v>
      </c>
      <c r="D14" s="67" t="str">
        <f>_xlfn.XLOOKUP(B14, tblConversions[Item], tblConversions[Category], "")</f>
        <v>Scope 1</v>
      </c>
      <c r="E14" s="67" t="str">
        <f>_xlfn.XLOOKUP(B14, tblConversions[Item], tblConversions[Type], "")</f>
        <v>Non-Renewable</v>
      </c>
      <c r="F14" s="67" t="str">
        <f>_xlfn.XLOOKUP(B14, tblConversions[Item], tblConversions[Unit], "")</f>
        <v>m³</v>
      </c>
      <c r="G14" s="67">
        <v>0</v>
      </c>
      <c r="H14" s="67">
        <v>600</v>
      </c>
      <c r="I14" s="67">
        <f t="shared" si="5"/>
        <v>600</v>
      </c>
      <c r="J14" s="67">
        <f>_xlfn.XLOOKUP(B14, tblConversions[Item], tblConversions[Multiplier], 0)</f>
        <v>1.0800000000000001E-2</v>
      </c>
      <c r="K14" s="70">
        <f>_xlfn.XLOOKUP(B14, tblConversions[Item], tblConversions[GHG Factor (t CO2e per Unit)], 0)</f>
        <v>2.04542</v>
      </c>
      <c r="L14" s="67">
        <f t="shared" si="6"/>
        <v>6.48</v>
      </c>
      <c r="M14" s="67">
        <f t="shared" si="2"/>
        <v>1.227252</v>
      </c>
      <c r="N14" s="67">
        <f t="shared" si="3"/>
        <v>0</v>
      </c>
      <c r="O14" s="67">
        <f t="shared" si="4"/>
        <v>6.48</v>
      </c>
    </row>
    <row r="15" spans="1:15" x14ac:dyDescent="0.25">
      <c r="C15" s="67" t="str">
        <f>_xlfn.XLOOKUP(B15, tblConversions[Item], tblConversions[State], "" )</f>
        <v/>
      </c>
      <c r="D15" s="67"/>
      <c r="E15" s="67"/>
      <c r="F15" s="67"/>
      <c r="G15" s="67"/>
      <c r="H15" s="67"/>
      <c r="I15" s="67"/>
      <c r="J15" s="67"/>
      <c r="K15" s="70"/>
      <c r="L15" s="67"/>
      <c r="M15" s="67"/>
      <c r="N15" s="67"/>
      <c r="O15" s="67"/>
    </row>
    <row r="16" spans="1:15" s="86" customFormat="1" ht="17.399999999999999" x14ac:dyDescent="0.3">
      <c r="A16" s="75" t="s">
        <v>50</v>
      </c>
      <c r="B16" s="75" t="s">
        <v>294</v>
      </c>
      <c r="C16" s="69" t="str">
        <f>_xlfn.XLOOKUP(B16, tblConversions[Item], tblConversions[State], "" )</f>
        <v/>
      </c>
      <c r="D16" s="69"/>
      <c r="E16" s="69"/>
      <c r="F16" s="69"/>
      <c r="G16" s="69"/>
      <c r="H16" s="69"/>
      <c r="I16" s="69"/>
      <c r="J16" s="69"/>
      <c r="K16" s="77"/>
      <c r="L16" s="69"/>
      <c r="M16" s="69"/>
      <c r="N16" s="69"/>
      <c r="O16" s="69"/>
    </row>
    <row r="17" spans="1:15" s="84" customFormat="1" ht="62.4" x14ac:dyDescent="0.3">
      <c r="A17" s="64"/>
      <c r="B17" s="64"/>
      <c r="C17" s="67" t="str">
        <f>_xlfn.XLOOKUP(B17, tblConversions[Item], tblConversions[State], "" )</f>
        <v/>
      </c>
      <c r="D17" s="65"/>
      <c r="E17" s="65"/>
      <c r="F17" s="65"/>
      <c r="G17" s="65" t="s">
        <v>153</v>
      </c>
      <c r="H17" s="65" t="s">
        <v>154</v>
      </c>
      <c r="I17" s="65" t="s">
        <v>155</v>
      </c>
      <c r="J17" s="65" t="s">
        <v>156</v>
      </c>
      <c r="K17" s="65" t="s">
        <v>346</v>
      </c>
      <c r="L17" s="65" t="s">
        <v>55</v>
      </c>
      <c r="M17" s="65" t="s">
        <v>157</v>
      </c>
      <c r="N17" s="65" t="s">
        <v>55</v>
      </c>
      <c r="O17" s="65" t="s">
        <v>55</v>
      </c>
    </row>
    <row r="18" spans="1:15" x14ac:dyDescent="0.25">
      <c r="B18" s="68" t="s">
        <v>133</v>
      </c>
      <c r="C18" s="67" t="str">
        <f>_xlfn.XLOOKUP(B18, tblConversions[Item], tblConversions[State], "" )</f>
        <v>NA</v>
      </c>
      <c r="D18" s="67" t="str">
        <f>_xlfn.XLOOKUP(B18, tblConversions[Item], tblConversions[Category], "")</f>
        <v>Scope 3</v>
      </c>
      <c r="E18" s="67" t="str">
        <f>_xlfn.XLOOKUP(B18, tblConversions[Item], tblConversions[Type], "")</f>
        <v>Purchased Goods</v>
      </c>
      <c r="F18" s="67" t="str">
        <f>_xlfn.XLOOKUP(B18, tblConversions[Item], tblConversions[Unit], "")</f>
        <v>USD</v>
      </c>
      <c r="G18" s="67">
        <v>0</v>
      </c>
      <c r="H18" s="67">
        <v>100000</v>
      </c>
      <c r="I18" s="67">
        <f t="shared" ref="I18" si="7">G18+H18</f>
        <v>100000</v>
      </c>
      <c r="J18" s="67">
        <f>_xlfn.XLOOKUP(B18, tblConversions[Item], tblConversions[Multiplier], 0)</f>
        <v>0</v>
      </c>
      <c r="K18" s="70">
        <f>_xlfn.XLOOKUP(B18, tblConversions[Item], tblConversions[GHG Factor (t CO2e per Unit)], 0)</f>
        <v>0.45</v>
      </c>
      <c r="L18" s="67" t="s">
        <v>55</v>
      </c>
      <c r="M18" s="67">
        <f>((H18 * K18) / 1000)+(G18*J18)/1000</f>
        <v>45</v>
      </c>
      <c r="N18" s="67" t="s">
        <v>55</v>
      </c>
      <c r="O18" s="67" t="s">
        <v>55</v>
      </c>
    </row>
    <row r="19" spans="1:15" ht="30" x14ac:dyDescent="0.25">
      <c r="B19" s="68" t="s">
        <v>343</v>
      </c>
      <c r="C19" s="67" t="str">
        <f>_xlfn.XLOOKUP(B19, tblConversions[Item], tblConversions[State], "" )</f>
        <v>Liquid</v>
      </c>
      <c r="D19" s="67" t="str">
        <f>_xlfn.XLOOKUP(B19, tblConversions[Item], tblConversions[Category], "")</f>
        <v>Scope 1</v>
      </c>
      <c r="E19" s="67" t="str">
        <f>_xlfn.XLOOKUP(B19, tblConversions[Item], tblConversions[Type], "")</f>
        <v>Direct Fugitive Emissions</v>
      </c>
      <c r="F19" s="67" t="str">
        <f>_xlfn.XLOOKUP(B19, tblConversions[Item], tblConversions[Unit], "")</f>
        <v>kg</v>
      </c>
      <c r="G19" s="67">
        <v>0</v>
      </c>
      <c r="H19" s="67">
        <v>20</v>
      </c>
      <c r="I19" s="67">
        <f>G19+H19</f>
        <v>20</v>
      </c>
      <c r="J19" s="67">
        <f>_xlfn.XLOOKUP(B19, tblConversions[Item], tblConversions[Multiplier], 0)</f>
        <v>0</v>
      </c>
      <c r="K19" s="70">
        <f>_xlfn.XLOOKUP(B19, tblConversions[Item], tblConversions[GHG Factor (t CO2e per Unit)], 0)</f>
        <v>675</v>
      </c>
      <c r="L19" s="67" t="s">
        <v>55</v>
      </c>
      <c r="M19" s="67">
        <f t="shared" ref="M19:M26" si="8">((H19 * K19) / 1000)+(G19*J19)/1000</f>
        <v>13.5</v>
      </c>
      <c r="N19" s="67" t="s">
        <v>55</v>
      </c>
      <c r="O19" s="67" t="s">
        <v>55</v>
      </c>
    </row>
    <row r="20" spans="1:15" x14ac:dyDescent="0.25">
      <c r="B20" s="68" t="s">
        <v>139</v>
      </c>
      <c r="C20" s="67" t="str">
        <f>_xlfn.XLOOKUP(B20, tblConversions[Item], tblConversions[State], "" )</f>
        <v>NA</v>
      </c>
      <c r="D20" s="67" t="str">
        <f>_xlfn.XLOOKUP(B20, tblConversions[Item], tblConversions[Category], "")</f>
        <v>Scope 3</v>
      </c>
      <c r="E20" s="67" t="str">
        <f>_xlfn.XLOOKUP(B20, tblConversions[Item], tblConversions[Type], "")</f>
        <v>Upstream Transport</v>
      </c>
      <c r="F20" s="67" t="str">
        <f>_xlfn.XLOOKUP(B20, tblConversions[Item], tblConversions[Unit], "")</f>
        <v>USD</v>
      </c>
      <c r="G20" s="67">
        <v>0</v>
      </c>
      <c r="H20" s="67">
        <v>1500</v>
      </c>
      <c r="I20" s="67">
        <f t="shared" ref="I20:I26" si="9">G20+H20</f>
        <v>1500</v>
      </c>
      <c r="J20" s="67">
        <f>_xlfn.XLOOKUP(B20, tblConversions[Item], tblConversions[Multiplier], 0)</f>
        <v>0</v>
      </c>
      <c r="K20" s="70">
        <f>_xlfn.XLOOKUP(B20, tblConversions[Item], tblConversions[GHG Factor (t CO2e per Unit)], 0)</f>
        <v>1.9836</v>
      </c>
      <c r="L20" s="67" t="s">
        <v>55</v>
      </c>
      <c r="M20" s="67">
        <f t="shared" si="8"/>
        <v>2.9754</v>
      </c>
      <c r="N20" s="67" t="s">
        <v>55</v>
      </c>
      <c r="O20" s="67" t="s">
        <v>55</v>
      </c>
    </row>
    <row r="21" spans="1:15" x14ac:dyDescent="0.25">
      <c r="B21" s="68" t="s">
        <v>138</v>
      </c>
      <c r="C21" s="67" t="str">
        <f>_xlfn.XLOOKUP(B21, tblConversions[Item], tblConversions[State], "" )</f>
        <v>NA</v>
      </c>
      <c r="D21" s="67" t="str">
        <f>_xlfn.XLOOKUP(B21, tblConversions[Item], tblConversions[Category], "")</f>
        <v>Scope 3</v>
      </c>
      <c r="E21" s="67" t="str">
        <f>_xlfn.XLOOKUP(B21, tblConversions[Item], tblConversions[Type], "")</f>
        <v>Upstream Transport</v>
      </c>
      <c r="F21" s="67" t="str">
        <f>_xlfn.XLOOKUP(B21, tblConversions[Item], tblConversions[Unit], "")</f>
        <v>USD</v>
      </c>
      <c r="G21" s="67">
        <v>0</v>
      </c>
      <c r="H21" s="67">
        <v>5000</v>
      </c>
      <c r="I21" s="67">
        <f t="shared" si="9"/>
        <v>5000</v>
      </c>
      <c r="J21" s="67">
        <f>_xlfn.XLOOKUP(B21, tblConversions[Item], tblConversions[Multiplier], 0)</f>
        <v>0</v>
      </c>
      <c r="K21" s="70">
        <f>_xlfn.XLOOKUP(B21, tblConversions[Item], tblConversions[GHG Factor (t CO2e per Unit)], 0)</f>
        <v>0.15</v>
      </c>
      <c r="L21" s="67" t="s">
        <v>55</v>
      </c>
      <c r="M21" s="67">
        <f t="shared" si="8"/>
        <v>0.75</v>
      </c>
      <c r="N21" s="67" t="s">
        <v>55</v>
      </c>
      <c r="O21" s="67" t="s">
        <v>55</v>
      </c>
    </row>
    <row r="22" spans="1:15" x14ac:dyDescent="0.25">
      <c r="B22" s="68" t="s">
        <v>137</v>
      </c>
      <c r="C22" s="67" t="str">
        <f>_xlfn.XLOOKUP(B22, tblConversions[Item], tblConversions[State], "" )</f>
        <v>NA</v>
      </c>
      <c r="D22" s="67" t="str">
        <f>_xlfn.XLOOKUP(B22, tblConversions[Item], tblConversions[Category], "")</f>
        <v>Scope 3</v>
      </c>
      <c r="E22" s="67" t="str">
        <f>_xlfn.XLOOKUP(B22, tblConversions[Item], tblConversions[Type], "")</f>
        <v>Upstream Transport</v>
      </c>
      <c r="F22" s="67" t="str">
        <f>_xlfn.XLOOKUP(B22, tblConversions[Item], tblConversions[Unit], "")</f>
        <v>USD</v>
      </c>
      <c r="G22" s="67">
        <v>0</v>
      </c>
      <c r="H22" s="67">
        <v>7000</v>
      </c>
      <c r="I22" s="67">
        <f t="shared" si="9"/>
        <v>7000</v>
      </c>
      <c r="J22" s="67">
        <f>_xlfn.XLOOKUP(B22, tblConversions[Item], tblConversions[Multiplier], 0)</f>
        <v>0</v>
      </c>
      <c r="K22" s="70">
        <f>_xlfn.XLOOKUP(B22, tblConversions[Item], tblConversions[GHG Factor (t CO2e per Unit)], 0)</f>
        <v>0.05</v>
      </c>
      <c r="L22" s="67" t="s">
        <v>55</v>
      </c>
      <c r="M22" s="67">
        <f t="shared" si="8"/>
        <v>0.35</v>
      </c>
      <c r="N22" s="67" t="s">
        <v>55</v>
      </c>
      <c r="O22" s="67" t="s">
        <v>55</v>
      </c>
    </row>
    <row r="23" spans="1:15" x14ac:dyDescent="0.25">
      <c r="B23" s="68" t="s">
        <v>148</v>
      </c>
      <c r="C23" s="67" t="str">
        <f>_xlfn.XLOOKUP(B23, tblConversions[Item], tblConversions[State], "" )</f>
        <v>NA</v>
      </c>
      <c r="D23" s="67" t="str">
        <f>_xlfn.XLOOKUP(B23, tblConversions[Item], tblConversions[Category], "")</f>
        <v>Scope 3</v>
      </c>
      <c r="E23" s="67" t="str">
        <f>_xlfn.XLOOKUP(B23, tblConversions[Item], tblConversions[Type], "")</f>
        <v>Business Travels</v>
      </c>
      <c r="F23" s="67" t="str">
        <f>_xlfn.XLOOKUP(B23, tblConversions[Item], tblConversions[Unit], "")</f>
        <v>USD</v>
      </c>
      <c r="G23" s="67">
        <v>0</v>
      </c>
      <c r="H23" s="67">
        <v>5000</v>
      </c>
      <c r="I23" s="67">
        <f t="shared" si="9"/>
        <v>5000</v>
      </c>
      <c r="J23" s="67">
        <f>_xlfn.XLOOKUP(B23, tblConversions[Item], tblConversions[Multiplier], 0)</f>
        <v>0</v>
      </c>
      <c r="K23" s="70">
        <f>_xlfn.XLOOKUP(B23, tblConversions[Item], tblConversions[GHG Factor (t CO2e per Unit)], 0)</f>
        <v>0.15</v>
      </c>
      <c r="L23" s="67" t="s">
        <v>55</v>
      </c>
      <c r="M23" s="67">
        <f t="shared" si="8"/>
        <v>0.75</v>
      </c>
      <c r="N23" s="67" t="s">
        <v>55</v>
      </c>
      <c r="O23" s="67" t="s">
        <v>55</v>
      </c>
    </row>
    <row r="24" spans="1:15" x14ac:dyDescent="0.25">
      <c r="B24" s="68" t="s">
        <v>147</v>
      </c>
      <c r="C24" s="67" t="str">
        <f>_xlfn.XLOOKUP(B24, tblConversions[Item], tblConversions[State], "" )</f>
        <v>NA</v>
      </c>
      <c r="D24" s="67" t="str">
        <f>_xlfn.XLOOKUP(B24, tblConversions[Item], tblConversions[Category], "")</f>
        <v>Scope 3</v>
      </c>
      <c r="E24" s="67" t="str">
        <f>_xlfn.XLOOKUP(B24, tblConversions[Item], tblConversions[Type], "")</f>
        <v>Business Travels</v>
      </c>
      <c r="F24" s="67" t="str">
        <f>_xlfn.XLOOKUP(B24, tblConversions[Item], tblConversions[Unit], "")</f>
        <v>USD</v>
      </c>
      <c r="G24" s="67">
        <v>0</v>
      </c>
      <c r="H24" s="67">
        <v>6000</v>
      </c>
      <c r="I24" s="67">
        <f t="shared" si="9"/>
        <v>6000</v>
      </c>
      <c r="J24" s="67">
        <f>_xlfn.XLOOKUP(B24, tblConversions[Item], tblConversions[Multiplier], 0)</f>
        <v>0</v>
      </c>
      <c r="K24" s="70">
        <f>_xlfn.XLOOKUP(B24, tblConversions[Item], tblConversions[GHG Factor (t CO2e per Unit)], 0)</f>
        <v>1.9836</v>
      </c>
      <c r="L24" s="67" t="s">
        <v>55</v>
      </c>
      <c r="M24" s="67">
        <f t="shared" si="8"/>
        <v>11.9016</v>
      </c>
      <c r="N24" s="67" t="s">
        <v>55</v>
      </c>
      <c r="O24" s="67" t="s">
        <v>55</v>
      </c>
    </row>
    <row r="25" spans="1:15" x14ac:dyDescent="0.25">
      <c r="B25" s="68" t="s">
        <v>146</v>
      </c>
      <c r="C25" s="67" t="str">
        <f>_xlfn.XLOOKUP(B25, tblConversions[Item], tblConversions[State], "" )</f>
        <v>NA</v>
      </c>
      <c r="D25" s="67" t="str">
        <f>_xlfn.XLOOKUP(B25, tblConversions[Item], tblConversions[Category], "")</f>
        <v>Scope 3</v>
      </c>
      <c r="E25" s="67" t="str">
        <f>_xlfn.XLOOKUP(B25, tblConversions[Item], tblConversions[Type], "")</f>
        <v>Business Travels</v>
      </c>
      <c r="F25" s="67" t="str">
        <f>_xlfn.XLOOKUP(B25, tblConversions[Item], tblConversions[Unit], "")</f>
        <v>USD</v>
      </c>
      <c r="G25" s="67">
        <v>0</v>
      </c>
      <c r="H25" s="67">
        <v>9000</v>
      </c>
      <c r="I25" s="67">
        <f t="shared" si="9"/>
        <v>9000</v>
      </c>
      <c r="J25" s="67">
        <f>_xlfn.XLOOKUP(B25, tblConversions[Item], tblConversions[Multiplier], 0)</f>
        <v>1</v>
      </c>
      <c r="K25" s="70">
        <f>_xlfn.XLOOKUP(B25, tblConversions[Item], tblConversions[GHG Factor (t CO2e per Unit)], 0)</f>
        <v>0.74095319861999998</v>
      </c>
      <c r="L25" s="67" t="s">
        <v>55</v>
      </c>
      <c r="M25" s="67">
        <f t="shared" si="8"/>
        <v>6.6685787875799996</v>
      </c>
      <c r="N25" s="67" t="s">
        <v>55</v>
      </c>
      <c r="O25" s="67" t="s">
        <v>55</v>
      </c>
    </row>
    <row r="26" spans="1:15" x14ac:dyDescent="0.25">
      <c r="B26" s="68" t="s">
        <v>62</v>
      </c>
      <c r="C26" s="67" t="str">
        <f>_xlfn.XLOOKUP(B26, tblConversions[Item], tblConversions[State], "" )</f>
        <v>NA</v>
      </c>
      <c r="D26" s="67" t="str">
        <f>_xlfn.XLOOKUP(B26, tblConversions[Item], tblConversions[Category], "")</f>
        <v>Removals</v>
      </c>
      <c r="E26" s="67" t="str">
        <f>_xlfn.XLOOKUP(B26, tblConversions[Item], tblConversions[Type], "")</f>
        <v>GHG</v>
      </c>
      <c r="F26" s="67" t="str">
        <f>_xlfn.XLOOKUP(B26, tblConversions[Item], tblConversions[Unit], "")</f>
        <v>tCO2e</v>
      </c>
      <c r="G26" s="67">
        <v>0</v>
      </c>
      <c r="H26" s="67">
        <v>100</v>
      </c>
      <c r="I26" s="67">
        <f t="shared" si="9"/>
        <v>100</v>
      </c>
      <c r="J26" s="67">
        <f>_xlfn.XLOOKUP(B26, tblConversions[Item], tblConversions[Multiplier], 0)</f>
        <v>0</v>
      </c>
      <c r="K26" s="70">
        <f>_xlfn.XLOOKUP(B26, tblConversions[Item], tblConversions[GHG Factor (t CO2e per Unit)], 0)</f>
        <v>-1000</v>
      </c>
      <c r="L26" s="67" t="s">
        <v>55</v>
      </c>
      <c r="M26" s="67">
        <f t="shared" si="8"/>
        <v>-100</v>
      </c>
      <c r="N26" s="67" t="s">
        <v>55</v>
      </c>
      <c r="O26" s="67" t="s">
        <v>55</v>
      </c>
    </row>
    <row r="27" spans="1:15" x14ac:dyDescent="0.25">
      <c r="C27" s="67" t="str">
        <f>_xlfn.XLOOKUP(B27, tblConversions[Item], tblConversions[State], "" )</f>
        <v/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</row>
    <row r="28" spans="1:15" s="86" customFormat="1" ht="17.399999999999999" x14ac:dyDescent="0.3">
      <c r="A28" s="75" t="s">
        <v>75</v>
      </c>
      <c r="B28" s="75" t="s">
        <v>295</v>
      </c>
      <c r="C28" s="69" t="str">
        <f>_xlfn.XLOOKUP(B28, tblConversions[Item], tblConversions[State], "" )</f>
        <v/>
      </c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</row>
    <row r="29" spans="1:15" s="84" customFormat="1" ht="31.2" x14ac:dyDescent="0.3">
      <c r="A29" s="64"/>
      <c r="B29" s="64" t="s">
        <v>107</v>
      </c>
      <c r="C29" s="67" t="str">
        <f>_xlfn.XLOOKUP(B29, tblConversions[Item], tblConversions[State], "" )</f>
        <v/>
      </c>
      <c r="D29" s="65"/>
      <c r="E29" s="65"/>
      <c r="F29" s="65"/>
      <c r="G29" s="65" t="s">
        <v>113</v>
      </c>
      <c r="H29" s="65" t="s">
        <v>55</v>
      </c>
      <c r="I29" s="65" t="s">
        <v>108</v>
      </c>
      <c r="J29" s="65"/>
      <c r="K29" s="65" t="s">
        <v>55</v>
      </c>
      <c r="L29" s="65" t="s">
        <v>108</v>
      </c>
      <c r="M29" s="65"/>
      <c r="N29" s="65" t="s">
        <v>114</v>
      </c>
      <c r="O29" s="65" t="s">
        <v>55</v>
      </c>
    </row>
    <row r="30" spans="1:15" x14ac:dyDescent="0.25">
      <c r="B30" s="68" t="s">
        <v>130</v>
      </c>
      <c r="C30" s="67" t="str">
        <f>_xlfn.XLOOKUP(B30, tblConversions[Item], tblConversions[State], "" )</f>
        <v>Gas</v>
      </c>
      <c r="D30" s="67" t="str">
        <f>_xlfn.XLOOKUP(B30, tblConversions[Item], tblConversions[Category], "")</f>
        <v>Air Emission</v>
      </c>
      <c r="E30" s="67" t="str">
        <f>_xlfn.XLOOKUP(B30, tblConversions[Item], tblConversions[Type], "")</f>
        <v>NOx</v>
      </c>
      <c r="F30" s="67" t="str">
        <f>_xlfn.XLOOKUP(B30, tblConversions[Item], tblConversions[Unit], "")</f>
        <v>kg</v>
      </c>
      <c r="G30" s="67">
        <v>50</v>
      </c>
      <c r="H30" s="67"/>
      <c r="I30" s="67">
        <f t="shared" ref="I30" si="10">G30+H30</f>
        <v>50</v>
      </c>
      <c r="J30" s="72">
        <f>_xlfn.XLOOKUP(B30, tblConversions[Item], tblConversions[Multiplier], 0)</f>
        <v>1</v>
      </c>
      <c r="K30" s="72">
        <f>_xlfn.XLOOKUP(D30, tblConversions[Item], tblConversions[GHG Factor (t CO2e per Unit)], 0)</f>
        <v>0</v>
      </c>
      <c r="L30" s="67">
        <f>I30*J30</f>
        <v>50</v>
      </c>
      <c r="M30" s="67">
        <f t="shared" ref="M30:M32" si="11">IF(E30="Renewable", 0, (I30 * K30) / 1000)</f>
        <v>0</v>
      </c>
      <c r="N30" s="67">
        <f>G30*J30</f>
        <v>50</v>
      </c>
      <c r="O30" s="67">
        <f>H30*J30</f>
        <v>0</v>
      </c>
    </row>
    <row r="31" spans="1:15" x14ac:dyDescent="0.25">
      <c r="B31" s="68" t="s">
        <v>131</v>
      </c>
      <c r="C31" s="67" t="str">
        <f>_xlfn.XLOOKUP(B31, tblConversions[Item], tblConversions[State], "" )</f>
        <v>Gas</v>
      </c>
      <c r="D31" s="67" t="str">
        <f>_xlfn.XLOOKUP(B31, tblConversions[Item], tblConversions[Category], "")</f>
        <v>Air Emission</v>
      </c>
      <c r="E31" s="67" t="str">
        <f>_xlfn.XLOOKUP(B31, tblConversions[Item], tblConversions[Type], "")</f>
        <v>SOx</v>
      </c>
      <c r="F31" s="67" t="str">
        <f>_xlfn.XLOOKUP(B31, tblConversions[Item], tblConversions[Unit], "")</f>
        <v>kg</v>
      </c>
      <c r="G31" s="67">
        <v>20</v>
      </c>
      <c r="H31" s="67"/>
      <c r="I31" s="67">
        <f t="shared" ref="I31:I33" si="12">G31+H31</f>
        <v>20</v>
      </c>
      <c r="J31" s="72">
        <f>_xlfn.XLOOKUP(B31, tblConversions[Item], tblConversions[Multiplier], 0)</f>
        <v>1</v>
      </c>
      <c r="K31" s="72">
        <f>_xlfn.XLOOKUP(D31, tblConversions[Item], tblConversions[GHG Factor (t CO2e per Unit)], 0)</f>
        <v>0</v>
      </c>
      <c r="L31" s="67">
        <f>I31*J31</f>
        <v>20</v>
      </c>
      <c r="M31" s="67">
        <f t="shared" si="11"/>
        <v>0</v>
      </c>
      <c r="N31" s="67">
        <f>G31*J31</f>
        <v>20</v>
      </c>
      <c r="O31" s="67">
        <f>H31*J31</f>
        <v>0</v>
      </c>
    </row>
    <row r="32" spans="1:15" x14ac:dyDescent="0.25">
      <c r="B32" s="68" t="s">
        <v>174</v>
      </c>
      <c r="C32" s="67" t="str">
        <f>_xlfn.XLOOKUP(B32, tblConversions[Item], tblConversions[State], "" )</f>
        <v>Particles</v>
      </c>
      <c r="D32" s="67" t="str">
        <f>_xlfn.XLOOKUP(B32, tblConversions[Item], tblConversions[Category], "")</f>
        <v>Air Emission</v>
      </c>
      <c r="E32" s="67" t="str">
        <f>_xlfn.XLOOKUP(B32, tblConversions[Item], tblConversions[Type], "")</f>
        <v>PM10/PM2.5</v>
      </c>
      <c r="F32" s="67" t="str">
        <f>_xlfn.XLOOKUP(B32, tblConversions[Item], tblConversions[Unit], "")</f>
        <v>kg</v>
      </c>
      <c r="G32" s="67">
        <v>100</v>
      </c>
      <c r="H32" s="67"/>
      <c r="I32" s="67">
        <f t="shared" si="12"/>
        <v>100</v>
      </c>
      <c r="J32" s="72">
        <f>_xlfn.XLOOKUP(B32, tblConversions[Item], tblConversions[Multiplier], 0)</f>
        <v>1</v>
      </c>
      <c r="K32" s="72">
        <f>_xlfn.XLOOKUP(D32, tblConversions[Item], tblConversions[GHG Factor (t CO2e per Unit)], 0)</f>
        <v>0</v>
      </c>
      <c r="L32" s="67">
        <f t="shared" ref="L32:L33" si="13">I32*J32</f>
        <v>100</v>
      </c>
      <c r="M32" s="67">
        <f t="shared" si="11"/>
        <v>0</v>
      </c>
      <c r="N32" s="67">
        <f t="shared" ref="N32:N33" si="14">G32*J32</f>
        <v>100</v>
      </c>
      <c r="O32" s="67">
        <f t="shared" ref="O32" si="15">H32*J32</f>
        <v>0</v>
      </c>
    </row>
    <row r="33" spans="1:15" x14ac:dyDescent="0.25">
      <c r="B33" s="68" t="s">
        <v>353</v>
      </c>
      <c r="C33" s="67" t="str">
        <f>_xlfn.XLOOKUP(B33, tblConversions[Item], tblConversions[State], "" )</f>
        <v>Liquid</v>
      </c>
      <c r="D33" s="67" t="str">
        <f>_xlfn.XLOOKUP(B33, tblConversions[Item], tblConversions[Category], "")</f>
        <v>Water Emission</v>
      </c>
      <c r="E33" s="67" t="str">
        <f>_xlfn.XLOOKUP(B33, tblConversions[Item], tblConversions[Type], "")</f>
        <v>Wastewater</v>
      </c>
      <c r="F33" s="67" t="str">
        <f>_xlfn.XLOOKUP(B33, tblConversions[Item], tblConversions[Unit], "")</f>
        <v>kg</v>
      </c>
      <c r="G33" s="67">
        <v>125</v>
      </c>
      <c r="H33" s="67"/>
      <c r="I33" s="67">
        <f t="shared" si="12"/>
        <v>125</v>
      </c>
      <c r="J33" s="72">
        <v>1</v>
      </c>
      <c r="K33" s="72">
        <v>0</v>
      </c>
      <c r="L33" s="67">
        <f t="shared" si="13"/>
        <v>125</v>
      </c>
      <c r="M33" s="67">
        <v>0</v>
      </c>
      <c r="N33" s="67">
        <f t="shared" si="14"/>
        <v>125</v>
      </c>
      <c r="O33" s="67"/>
    </row>
    <row r="34" spans="1:15" x14ac:dyDescent="0.25">
      <c r="C34" s="67" t="str">
        <f>_xlfn.XLOOKUP(B34, tblConversions[Item], tblConversions[State], "" )</f>
        <v/>
      </c>
      <c r="D34" s="67"/>
      <c r="E34" s="67"/>
      <c r="F34" s="67"/>
      <c r="G34" s="67"/>
      <c r="H34" s="67"/>
      <c r="I34" s="67"/>
      <c r="J34" s="72"/>
      <c r="K34" s="72"/>
      <c r="L34" s="67"/>
      <c r="M34" s="67"/>
      <c r="N34" s="67"/>
      <c r="O34" s="67"/>
    </row>
    <row r="35" spans="1:15" s="86" customFormat="1" ht="17.399999999999999" x14ac:dyDescent="0.3">
      <c r="A35" s="75" t="s">
        <v>163</v>
      </c>
      <c r="B35" s="75" t="s">
        <v>296</v>
      </c>
      <c r="C35" s="69" t="str">
        <f>_xlfn.XLOOKUP(B35, tblConversions[Item], tblConversions[State], "" )</f>
        <v/>
      </c>
      <c r="D35" s="69"/>
      <c r="E35" s="69"/>
      <c r="F35" s="69"/>
      <c r="G35" s="69"/>
      <c r="H35" s="69"/>
      <c r="I35" s="69"/>
      <c r="J35" s="76"/>
      <c r="K35" s="76"/>
      <c r="L35" s="69"/>
      <c r="M35" s="69"/>
      <c r="N35" s="69"/>
      <c r="O35" s="69"/>
    </row>
    <row r="36" spans="1:15" ht="30" x14ac:dyDescent="0.25">
      <c r="B36" s="64"/>
      <c r="C36" s="67" t="str">
        <f>_xlfn.XLOOKUP(B36, tblConversions[Item], tblConversions[State], "" )</f>
        <v/>
      </c>
      <c r="D36" s="67"/>
      <c r="E36" s="67"/>
      <c r="F36" s="67"/>
      <c r="G36" s="67" t="s">
        <v>164</v>
      </c>
      <c r="H36" s="67"/>
      <c r="I36" s="67"/>
      <c r="J36" s="72"/>
      <c r="K36" s="72"/>
      <c r="L36" s="67" t="s">
        <v>297</v>
      </c>
      <c r="M36" s="67"/>
      <c r="N36" s="67"/>
      <c r="O36" s="67"/>
    </row>
    <row r="37" spans="1:15" ht="30" x14ac:dyDescent="0.25">
      <c r="B37" s="68" t="s">
        <v>168</v>
      </c>
      <c r="C37" s="67" t="str">
        <f>_xlfn.XLOOKUP(B37, tblConversions[Item], tblConversions[State], "" )</f>
        <v/>
      </c>
      <c r="D37" s="73" t="s">
        <v>167</v>
      </c>
      <c r="E37" s="67" t="s">
        <v>140</v>
      </c>
      <c r="F37" s="67" t="s">
        <v>165</v>
      </c>
      <c r="G37" s="74">
        <v>0.1</v>
      </c>
      <c r="H37" s="67" t="s">
        <v>55</v>
      </c>
      <c r="I37" s="67" t="s">
        <v>55</v>
      </c>
      <c r="J37" s="67" t="s">
        <v>55</v>
      </c>
      <c r="K37" s="67" t="s">
        <v>55</v>
      </c>
      <c r="L37" s="74">
        <f>G37</f>
        <v>0.1</v>
      </c>
      <c r="M37" s="67" t="s">
        <v>55</v>
      </c>
      <c r="N37" s="67" t="s">
        <v>55</v>
      </c>
      <c r="O37" s="67" t="s">
        <v>55</v>
      </c>
    </row>
    <row r="38" spans="1:15" ht="15.6" x14ac:dyDescent="0.25">
      <c r="B38" s="68" t="s">
        <v>169</v>
      </c>
      <c r="C38" s="67" t="str">
        <f>_xlfn.XLOOKUP(B38, tblConversions[Item], tblConversions[State], "" )</f>
        <v/>
      </c>
      <c r="D38" s="73" t="s">
        <v>167</v>
      </c>
      <c r="E38" s="67" t="s">
        <v>220</v>
      </c>
      <c r="F38" s="67" t="s">
        <v>166</v>
      </c>
      <c r="G38" s="67">
        <v>250000</v>
      </c>
      <c r="H38" s="67" t="s">
        <v>55</v>
      </c>
      <c r="I38" s="67" t="s">
        <v>55</v>
      </c>
      <c r="J38" s="67" t="s">
        <v>55</v>
      </c>
      <c r="K38" s="67" t="s">
        <v>55</v>
      </c>
      <c r="L38" s="67">
        <f t="shared" ref="L38:L40" si="16">G38</f>
        <v>250000</v>
      </c>
      <c r="M38" s="67" t="s">
        <v>55</v>
      </c>
      <c r="N38" s="67" t="s">
        <v>55</v>
      </c>
      <c r="O38" s="67" t="s">
        <v>55</v>
      </c>
    </row>
    <row r="39" spans="1:15" ht="15.6" x14ac:dyDescent="0.25">
      <c r="B39" s="68" t="s">
        <v>170</v>
      </c>
      <c r="C39" s="67" t="str">
        <f>_xlfn.XLOOKUP(B39, tblConversions[Item], tblConversions[State], "" )</f>
        <v/>
      </c>
      <c r="D39" s="73" t="s">
        <v>167</v>
      </c>
      <c r="E39" s="67" t="s">
        <v>219</v>
      </c>
      <c r="F39" s="67" t="s">
        <v>166</v>
      </c>
      <c r="G39" s="67">
        <v>100000</v>
      </c>
      <c r="H39" s="67" t="s">
        <v>55</v>
      </c>
      <c r="I39" s="67" t="s">
        <v>55</v>
      </c>
      <c r="J39" s="67" t="s">
        <v>55</v>
      </c>
      <c r="K39" s="67" t="s">
        <v>55</v>
      </c>
      <c r="L39" s="67">
        <f t="shared" si="16"/>
        <v>100000</v>
      </c>
      <c r="M39" s="67" t="s">
        <v>55</v>
      </c>
      <c r="N39" s="67" t="s">
        <v>55</v>
      </c>
      <c r="O39" s="67" t="s">
        <v>55</v>
      </c>
    </row>
    <row r="40" spans="1:15" x14ac:dyDescent="0.25">
      <c r="C40" s="67" t="str">
        <f>_xlfn.XLOOKUP(B40, tblConversions[Item], tblConversions[State], "" )</f>
        <v/>
      </c>
      <c r="D40" s="67"/>
      <c r="E40" s="67"/>
      <c r="F40" s="67"/>
      <c r="G40" s="67"/>
      <c r="H40" s="67" t="s">
        <v>55</v>
      </c>
      <c r="I40" s="67" t="s">
        <v>55</v>
      </c>
      <c r="J40" s="67" t="s">
        <v>55</v>
      </c>
      <c r="K40" s="67" t="s">
        <v>55</v>
      </c>
      <c r="L40" s="67">
        <f t="shared" si="16"/>
        <v>0</v>
      </c>
      <c r="M40" s="67" t="s">
        <v>55</v>
      </c>
      <c r="N40" s="67" t="s">
        <v>55</v>
      </c>
      <c r="O40" s="67" t="s">
        <v>55</v>
      </c>
    </row>
    <row r="41" spans="1:15" s="85" customFormat="1" ht="21" x14ac:dyDescent="0.4">
      <c r="A41" s="80" t="s">
        <v>60</v>
      </c>
      <c r="B41" s="80" t="s">
        <v>83</v>
      </c>
      <c r="C41" s="81" t="str">
        <f>_xlfn.XLOOKUP(B41, tblConversions[Item], tblConversions[State], "" )</f>
        <v/>
      </c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</row>
    <row r="42" spans="1:15" s="86" customFormat="1" ht="17.399999999999999" x14ac:dyDescent="0.3">
      <c r="A42" s="75" t="s">
        <v>84</v>
      </c>
      <c r="B42" s="75" t="s">
        <v>203</v>
      </c>
      <c r="C42" s="69" t="str">
        <f>_xlfn.XLOOKUP(B42, tblConversions[Item], tblConversions[State], "" )</f>
        <v/>
      </c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</row>
    <row r="43" spans="1:15" s="84" customFormat="1" ht="46.8" x14ac:dyDescent="0.3">
      <c r="A43" s="64"/>
      <c r="B43" s="64"/>
      <c r="C43" s="67" t="str">
        <f>_xlfn.XLOOKUP(B43, tblConversions[Item], tblConversions[State], "" )</f>
        <v/>
      </c>
      <c r="D43" s="65"/>
      <c r="E43" s="65"/>
      <c r="F43" s="65"/>
      <c r="G43" s="65" t="s">
        <v>86</v>
      </c>
      <c r="H43" s="65" t="s">
        <v>87</v>
      </c>
      <c r="I43" s="65"/>
      <c r="J43" s="65" t="s">
        <v>88</v>
      </c>
      <c r="K43" s="65"/>
      <c r="L43" s="65" t="s">
        <v>89</v>
      </c>
      <c r="M43" s="65" t="s">
        <v>55</v>
      </c>
      <c r="N43" s="65" t="s">
        <v>176</v>
      </c>
      <c r="O43" s="65" t="s">
        <v>177</v>
      </c>
    </row>
    <row r="44" spans="1:15" x14ac:dyDescent="0.25">
      <c r="B44" s="68" t="s">
        <v>76</v>
      </c>
      <c r="C44" s="67" t="str">
        <f>_xlfn.XLOOKUP(B44, tblConversions[Item], tblConversions[State], "" )</f>
        <v>Liquid</v>
      </c>
      <c r="D44" s="67" t="str">
        <f>_xlfn.XLOOKUP(B44, tblConversions[Item], tblConversions[Category], "")</f>
        <v>Withdrawal</v>
      </c>
      <c r="E44" s="67" t="str">
        <f>_xlfn.XLOOKUP(B44, tblConversions[Item], tblConversions[Type], "")</f>
        <v>Water</v>
      </c>
      <c r="F44" s="67" t="str">
        <f>_xlfn.XLOOKUP(B44, tblConversions[Item], tblConversions[Unit], "")</f>
        <v>m3</v>
      </c>
      <c r="G44" s="67">
        <v>75</v>
      </c>
      <c r="H44" s="67">
        <v>100</v>
      </c>
      <c r="I44" s="67">
        <f t="shared" ref="I44:I48" si="17">G44+H44</f>
        <v>175</v>
      </c>
      <c r="J44" s="72">
        <f>_xlfn.XLOOKUP(B44, tblConversions[Item], tblConversions[Multiplier], 0)</f>
        <v>1</v>
      </c>
      <c r="K44" s="72">
        <f>_xlfn.XLOOKUP(D44, tblConversions[Item], tblConversions[GHG Factor (t CO2e per Unit)], 0)</f>
        <v>0</v>
      </c>
      <c r="L44" s="67">
        <f>I44*J44</f>
        <v>175</v>
      </c>
      <c r="M44" s="67" t="s">
        <v>55</v>
      </c>
      <c r="N44" s="67">
        <f>G44*J44</f>
        <v>75</v>
      </c>
      <c r="O44" s="67">
        <f>H44*J44</f>
        <v>100</v>
      </c>
    </row>
    <row r="45" spans="1:15" x14ac:dyDescent="0.25">
      <c r="B45" s="68" t="s">
        <v>181</v>
      </c>
      <c r="C45" s="67" t="str">
        <f>_xlfn.XLOOKUP(B45, tblConversions[Item], tblConversions[State], "" )</f>
        <v>Liquid</v>
      </c>
      <c r="D45" s="67" t="str">
        <f>_xlfn.XLOOKUP(B45, tblConversions[Item], tblConversions[Category], "")</f>
        <v>Withdrawal</v>
      </c>
      <c r="E45" s="67" t="str">
        <f>_xlfn.XLOOKUP(B45, tblConversions[Item], tblConversions[Type], "")</f>
        <v>Water</v>
      </c>
      <c r="F45" s="67" t="str">
        <f>_xlfn.XLOOKUP(B45, tblConversions[Item], tblConversions[Unit], "")</f>
        <v>m3</v>
      </c>
      <c r="G45" s="67">
        <v>70</v>
      </c>
      <c r="H45" s="67">
        <v>100</v>
      </c>
      <c r="I45" s="67">
        <f t="shared" si="17"/>
        <v>170</v>
      </c>
      <c r="J45" s="72">
        <f>_xlfn.XLOOKUP(B45, tblConversions[Item], tblConversions[Multiplier], 0)</f>
        <v>1</v>
      </c>
      <c r="K45" s="72">
        <f>_xlfn.XLOOKUP(D45, tblConversions[Item], tblConversions[GHG Factor (t CO2e per Unit)], 0)</f>
        <v>0</v>
      </c>
      <c r="L45" s="67">
        <f t="shared" ref="L45:L48" si="18">I45*J45</f>
        <v>170</v>
      </c>
      <c r="M45" s="67" t="s">
        <v>55</v>
      </c>
      <c r="N45" s="67">
        <f t="shared" ref="N45:N48" si="19">G45*J45</f>
        <v>70</v>
      </c>
      <c r="O45" s="67">
        <f t="shared" ref="O45:O46" si="20">H45*J45</f>
        <v>100</v>
      </c>
    </row>
    <row r="46" spans="1:15" x14ac:dyDescent="0.25">
      <c r="B46" s="68" t="s">
        <v>179</v>
      </c>
      <c r="C46" s="67" t="str">
        <f>_xlfn.XLOOKUP(B46, tblConversions[Item], tblConversions[State], "" )</f>
        <v>Liquid</v>
      </c>
      <c r="D46" s="67" t="str">
        <f>_xlfn.XLOOKUP(B46, tblConversions[Item], tblConversions[Category], "")</f>
        <v>Withdrawal</v>
      </c>
      <c r="E46" s="67" t="str">
        <f>_xlfn.XLOOKUP(B46, tblConversions[Item], tblConversions[Type], "")</f>
        <v>Water</v>
      </c>
      <c r="F46" s="67" t="str">
        <f>_xlfn.XLOOKUP(B46, tblConversions[Item], tblConversions[Unit], "")</f>
        <v>m3</v>
      </c>
      <c r="G46" s="67">
        <v>40</v>
      </c>
      <c r="H46" s="67">
        <v>50</v>
      </c>
      <c r="I46" s="67">
        <f t="shared" si="17"/>
        <v>90</v>
      </c>
      <c r="J46" s="72">
        <f>_xlfn.XLOOKUP(B46, tblConversions[Item], tblConversions[Multiplier], 0)</f>
        <v>1</v>
      </c>
      <c r="K46" s="72">
        <f>_xlfn.XLOOKUP(D46, tblConversions[Item], tblConversions[GHG Factor (t CO2e per Unit)], 0)</f>
        <v>0</v>
      </c>
      <c r="L46" s="67">
        <f t="shared" si="18"/>
        <v>90</v>
      </c>
      <c r="M46" s="67" t="s">
        <v>55</v>
      </c>
      <c r="N46" s="67">
        <f t="shared" si="19"/>
        <v>40</v>
      </c>
      <c r="O46" s="67">
        <f t="shared" si="20"/>
        <v>50</v>
      </c>
    </row>
    <row r="47" spans="1:15" x14ac:dyDescent="0.25">
      <c r="B47" s="68" t="s">
        <v>77</v>
      </c>
      <c r="C47" s="67" t="str">
        <f>_xlfn.XLOOKUP(B47, tblConversions[Item], tblConversions[State], "" )</f>
        <v>Liquid</v>
      </c>
      <c r="D47" s="67" t="str">
        <f>_xlfn.XLOOKUP(B47, tblConversions[Item], tblConversions[Category], "")</f>
        <v>Discharge</v>
      </c>
      <c r="E47" s="67" t="str">
        <f>_xlfn.XLOOKUP(B47, tblConversions[Item], tblConversions[Type], "")</f>
        <v>Wastewater</v>
      </c>
      <c r="F47" s="67" t="str">
        <f>_xlfn.XLOOKUP(B47, tblConversions[Item], tblConversions[Unit], "")</f>
        <v>m3</v>
      </c>
      <c r="G47" s="67">
        <v>0</v>
      </c>
      <c r="H47" s="67">
        <v>65</v>
      </c>
      <c r="I47" s="67">
        <f t="shared" si="17"/>
        <v>65</v>
      </c>
      <c r="J47" s="72">
        <f>_xlfn.XLOOKUP(B47, tblConversions[Item], tblConversions[Multiplier], 0)</f>
        <v>1</v>
      </c>
      <c r="K47" s="72">
        <f>_xlfn.XLOOKUP(D47, tblConversions[Item], tblConversions[GHG Factor (t CO2e per Unit)], 0)</f>
        <v>0</v>
      </c>
      <c r="L47" s="67">
        <f t="shared" si="18"/>
        <v>65</v>
      </c>
      <c r="M47" s="67" t="s">
        <v>55</v>
      </c>
      <c r="N47" s="67">
        <f t="shared" si="19"/>
        <v>0</v>
      </c>
      <c r="O47" s="67">
        <f>H47*J47</f>
        <v>65</v>
      </c>
    </row>
    <row r="48" spans="1:15" x14ac:dyDescent="0.25">
      <c r="B48" s="68" t="s">
        <v>180</v>
      </c>
      <c r="C48" s="67" t="str">
        <f>_xlfn.XLOOKUP(B48, tblConversions[Item], tblConversions[State], "" )</f>
        <v>Liquid</v>
      </c>
      <c r="D48" s="67" t="str">
        <f>_xlfn.XLOOKUP(B48, tblConversions[Item], tblConversions[Category], "")</f>
        <v>Discharge</v>
      </c>
      <c r="E48" s="67" t="str">
        <f>_xlfn.XLOOKUP(B48, tblConversions[Item], tblConversions[Type], "")</f>
        <v>Wastewater</v>
      </c>
      <c r="F48" s="67" t="str">
        <f>_xlfn.XLOOKUP(B48, tblConversions[Item], tblConversions[Unit], "")</f>
        <v>m3</v>
      </c>
      <c r="G48" s="67">
        <v>0</v>
      </c>
      <c r="H48" s="67">
        <v>35</v>
      </c>
      <c r="I48" s="67">
        <f t="shared" si="17"/>
        <v>35</v>
      </c>
      <c r="J48" s="72">
        <f>_xlfn.XLOOKUP(B48, tblConversions[Item], tblConversions[Multiplier], 0)</f>
        <v>1</v>
      </c>
      <c r="K48" s="72">
        <f>_xlfn.XLOOKUP(D48, tblConversions[Item], tblConversions[GHG Factor (t CO2e per Unit)], 0)</f>
        <v>0</v>
      </c>
      <c r="L48" s="67">
        <f t="shared" si="18"/>
        <v>35</v>
      </c>
      <c r="M48" s="67" t="s">
        <v>55</v>
      </c>
      <c r="N48" s="67">
        <f t="shared" si="19"/>
        <v>0</v>
      </c>
      <c r="O48" s="67">
        <f>H48*J48</f>
        <v>35</v>
      </c>
    </row>
    <row r="49" spans="1:15" x14ac:dyDescent="0.25">
      <c r="C49" s="67" t="str">
        <f>_xlfn.XLOOKUP(B49, tblConversions[Item], tblConversions[State], "" )</f>
        <v/>
      </c>
      <c r="D49" s="67"/>
      <c r="E49" s="67"/>
      <c r="F49" s="67"/>
      <c r="G49" s="67"/>
      <c r="H49" s="67"/>
      <c r="I49" s="67"/>
      <c r="J49" s="72"/>
      <c r="K49" s="72"/>
      <c r="L49" s="67"/>
      <c r="M49" s="67"/>
      <c r="N49" s="67"/>
      <c r="O49" s="67"/>
    </row>
    <row r="50" spans="1:15" s="86" customFormat="1" ht="17.399999999999999" x14ac:dyDescent="0.3">
      <c r="A50" s="75" t="s">
        <v>197</v>
      </c>
      <c r="B50" s="75" t="s">
        <v>204</v>
      </c>
      <c r="C50" s="69" t="str">
        <f>_xlfn.XLOOKUP(B50, tblConversions[Item], tblConversions[State], "" )</f>
        <v/>
      </c>
      <c r="D50" s="69"/>
      <c r="E50" s="69"/>
      <c r="F50" s="69"/>
      <c r="G50" s="69"/>
      <c r="H50" s="69"/>
      <c r="I50" s="69"/>
      <c r="J50" s="76"/>
      <c r="K50" s="76"/>
      <c r="L50" s="69"/>
      <c r="M50" s="69"/>
      <c r="N50" s="69"/>
      <c r="O50" s="69"/>
    </row>
    <row r="51" spans="1:15" s="84" customFormat="1" ht="31.2" x14ac:dyDescent="0.3">
      <c r="A51" s="64"/>
      <c r="B51" s="64"/>
      <c r="C51" s="67" t="str">
        <f>_xlfn.XLOOKUP(B51, tblConversions[Item], tblConversions[State], "" )</f>
        <v/>
      </c>
      <c r="D51" s="65"/>
      <c r="E51" s="65"/>
      <c r="F51" s="65"/>
      <c r="G51" s="65" t="s">
        <v>55</v>
      </c>
      <c r="H51" s="65" t="s">
        <v>206</v>
      </c>
      <c r="I51" s="65" t="s">
        <v>205</v>
      </c>
      <c r="J51" s="65" t="s">
        <v>207</v>
      </c>
      <c r="K51" s="65"/>
      <c r="L51" s="65" t="s">
        <v>205</v>
      </c>
      <c r="M51" s="65" t="s">
        <v>208</v>
      </c>
      <c r="N51" s="65"/>
      <c r="O51" s="65"/>
    </row>
    <row r="52" spans="1:15" ht="30" x14ac:dyDescent="0.25">
      <c r="B52" s="68" t="s">
        <v>201</v>
      </c>
      <c r="C52" s="67" t="str">
        <f>_xlfn.XLOOKUP(B52, tblConversions[Item], tblConversions[State], "" )</f>
        <v>NA</v>
      </c>
      <c r="D52" s="67" t="str">
        <f>_xlfn.XLOOKUP(B52, tblConversions[Item], tblConversions[Category], "")</f>
        <v>Resource Use</v>
      </c>
      <c r="E52" s="67" t="str">
        <f>_xlfn.XLOOKUP(B52, tblConversions[Item], tblConversions[Type], "")</f>
        <v>Resources</v>
      </c>
      <c r="F52" s="67" t="str">
        <f>_xlfn.XLOOKUP(B52, tblConversions[Item], tblConversions[Unit], "")</f>
        <v>Tonnes</v>
      </c>
      <c r="G52" s="67">
        <v>0</v>
      </c>
      <c r="H52" s="67">
        <v>0</v>
      </c>
      <c r="I52" s="67">
        <f t="shared" ref="I52" si="21">G52+H52</f>
        <v>0</v>
      </c>
      <c r="J52" s="72">
        <f>_xlfn.XLOOKUP(B52, tblConversions[Item], tblConversions[Multiplier], 0)</f>
        <v>1</v>
      </c>
      <c r="K52" s="72">
        <f>_xlfn.XLOOKUP(D52, tblConversions[Item], tblConversions[GHG Factor (t CO2e per Unit)], 0)</f>
        <v>0</v>
      </c>
      <c r="L52" s="67">
        <f t="shared" ref="L52" si="22">I52*J52</f>
        <v>0</v>
      </c>
      <c r="M52" s="67" t="s">
        <v>55</v>
      </c>
      <c r="N52" s="67">
        <f t="shared" ref="N52" si="23">G52*J52</f>
        <v>0</v>
      </c>
      <c r="O52" s="67">
        <f>H52*J52</f>
        <v>0</v>
      </c>
    </row>
    <row r="53" spans="1:15" x14ac:dyDescent="0.25">
      <c r="C53" s="67" t="str">
        <f>_xlfn.XLOOKUP(B53, tblConversions[Item], tblConversions[State], "" )</f>
        <v/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1:15" s="86" customFormat="1" ht="17.399999999999999" x14ac:dyDescent="0.3">
      <c r="A54" s="75" t="s">
        <v>224</v>
      </c>
      <c r="B54" s="75" t="s">
        <v>221</v>
      </c>
      <c r="C54" s="69" t="str">
        <f>_xlfn.XLOOKUP(B54, tblConversions[Item], tblConversions[State], "" )</f>
        <v/>
      </c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</row>
    <row r="55" spans="1:15" ht="60" x14ac:dyDescent="0.25">
      <c r="C55" s="67" t="str">
        <f>_xlfn.XLOOKUP(B55, tblConversions[Item], tblConversions[State], "" )</f>
        <v/>
      </c>
      <c r="D55" s="67" t="s">
        <v>164</v>
      </c>
      <c r="E55" s="67" t="s">
        <v>164</v>
      </c>
      <c r="F55" s="67" t="s">
        <v>164</v>
      </c>
      <c r="G55" s="67" t="s">
        <v>164</v>
      </c>
      <c r="H55" s="67"/>
      <c r="I55" s="67"/>
      <c r="J55" s="72"/>
      <c r="K55" s="72"/>
      <c r="L55" s="67"/>
      <c r="M55" s="67"/>
      <c r="N55" s="67"/>
      <c r="O55" s="67"/>
    </row>
    <row r="56" spans="1:15" ht="30" x14ac:dyDescent="0.25">
      <c r="B56" s="68" t="s">
        <v>217</v>
      </c>
      <c r="C56" s="67" t="str">
        <f>_xlfn.XLOOKUP(B56, tblConversions[Item], tblConversions[State], "" )</f>
        <v/>
      </c>
      <c r="D56" s="73" t="s">
        <v>167</v>
      </c>
      <c r="E56" s="67" t="s">
        <v>2</v>
      </c>
      <c r="F56" s="67" t="s">
        <v>165</v>
      </c>
      <c r="G56" s="74">
        <v>-0.3</v>
      </c>
      <c r="H56" s="67" t="s">
        <v>55</v>
      </c>
      <c r="I56" s="67" t="s">
        <v>55</v>
      </c>
      <c r="J56" s="67" t="s">
        <v>55</v>
      </c>
      <c r="K56" s="67" t="s">
        <v>55</v>
      </c>
      <c r="L56" s="74">
        <f>G56</f>
        <v>-0.3</v>
      </c>
      <c r="M56" s="67" t="s">
        <v>55</v>
      </c>
      <c r="N56" s="67" t="s">
        <v>55</v>
      </c>
      <c r="O56" s="67" t="s">
        <v>55</v>
      </c>
    </row>
    <row r="57" spans="1:15" ht="30" x14ac:dyDescent="0.25">
      <c r="B57" s="68" t="s">
        <v>218</v>
      </c>
      <c r="C57" s="67" t="str">
        <f>_xlfn.XLOOKUP(B57, tblConversions[Item], tblConversions[State], "" )</f>
        <v/>
      </c>
      <c r="D57" s="73" t="s">
        <v>167</v>
      </c>
      <c r="E57" s="67" t="s">
        <v>77</v>
      </c>
      <c r="F57" s="67" t="s">
        <v>165</v>
      </c>
      <c r="G57" s="74">
        <v>-0.25</v>
      </c>
      <c r="H57" s="67" t="s">
        <v>55</v>
      </c>
      <c r="I57" s="67" t="s">
        <v>55</v>
      </c>
      <c r="J57" s="67" t="s">
        <v>55</v>
      </c>
      <c r="K57" s="67" t="s">
        <v>55</v>
      </c>
      <c r="L57" s="74">
        <f>G57</f>
        <v>-0.25</v>
      </c>
      <c r="M57" s="67" t="s">
        <v>55</v>
      </c>
      <c r="N57" s="67" t="s">
        <v>55</v>
      </c>
      <c r="O57" s="67" t="s">
        <v>55</v>
      </c>
    </row>
    <row r="58" spans="1:15" ht="15.6" x14ac:dyDescent="0.25">
      <c r="B58" s="68" t="s">
        <v>362</v>
      </c>
      <c r="C58" s="67" t="str">
        <f>_xlfn.XLOOKUP(B58, tblConversions[Item], tblConversions[State], "" )</f>
        <v/>
      </c>
      <c r="D58" s="73" t="s">
        <v>167</v>
      </c>
      <c r="E58" s="67" t="s">
        <v>220</v>
      </c>
      <c r="F58" s="67" t="s">
        <v>361</v>
      </c>
      <c r="G58" s="67">
        <v>100000</v>
      </c>
      <c r="H58" s="67" t="s">
        <v>55</v>
      </c>
      <c r="I58" s="67" t="s">
        <v>55</v>
      </c>
      <c r="J58" s="67" t="s">
        <v>55</v>
      </c>
      <c r="K58" s="67" t="s">
        <v>55</v>
      </c>
      <c r="L58" s="67">
        <f t="shared" ref="L58" si="24">G58</f>
        <v>100000</v>
      </c>
      <c r="M58" s="67" t="s">
        <v>55</v>
      </c>
      <c r="N58" s="67" t="s">
        <v>55</v>
      </c>
      <c r="O58" s="67" t="s">
        <v>55</v>
      </c>
    </row>
    <row r="59" spans="1:15" x14ac:dyDescent="0.25">
      <c r="C59" s="67" t="str">
        <f>_xlfn.XLOOKUP(B59, tblConversions[Item], tblConversions[State], "" )</f>
        <v/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</row>
    <row r="60" spans="1:15" s="85" customFormat="1" ht="21" x14ac:dyDescent="0.4">
      <c r="A60" s="80" t="s">
        <v>230</v>
      </c>
      <c r="B60" s="80" t="s">
        <v>290</v>
      </c>
      <c r="C60" s="81" t="str">
        <f>_xlfn.XLOOKUP(B60, tblConversions[Item], tblConversions[State], "" )</f>
        <v/>
      </c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</row>
    <row r="61" spans="1:15" s="86" customFormat="1" ht="17.399999999999999" x14ac:dyDescent="0.3">
      <c r="A61" s="75" t="s">
        <v>231</v>
      </c>
      <c r="B61" s="75" t="s">
        <v>229</v>
      </c>
      <c r="C61" s="69" t="str">
        <f>_xlfn.XLOOKUP(B61, tblConversions[Item], tblConversions[State], "" )</f>
        <v/>
      </c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</row>
    <row r="62" spans="1:15" s="84" customFormat="1" ht="46.8" x14ac:dyDescent="0.3">
      <c r="A62" s="64"/>
      <c r="B62" s="64" t="s">
        <v>407</v>
      </c>
      <c r="C62" s="67" t="str">
        <f>_xlfn.XLOOKUP(B62, tblConversions[Item], tblConversions[State], "" )</f>
        <v/>
      </c>
      <c r="D62" s="65"/>
      <c r="E62" s="65"/>
      <c r="F62" s="65"/>
      <c r="G62" s="65" t="s">
        <v>283</v>
      </c>
      <c r="H62" s="65" t="s">
        <v>282</v>
      </c>
      <c r="I62" s="65"/>
      <c r="J62" s="65" t="s">
        <v>380</v>
      </c>
      <c r="K62" s="65" t="s">
        <v>53</v>
      </c>
      <c r="L62" s="65" t="s">
        <v>383</v>
      </c>
      <c r="M62" s="65" t="s">
        <v>248</v>
      </c>
      <c r="N62" s="65" t="s">
        <v>382</v>
      </c>
      <c r="O62" s="65" t="s">
        <v>381</v>
      </c>
    </row>
    <row r="63" spans="1:15" x14ac:dyDescent="0.25">
      <c r="B63" s="68" t="s">
        <v>245</v>
      </c>
      <c r="C63" s="67" t="s">
        <v>376</v>
      </c>
      <c r="D63" s="67" t="str">
        <f>_xlfn.XLOOKUP(B63, tblConversions[Item], tblConversions[Category], "")</f>
        <v>Reused</v>
      </c>
      <c r="E63" s="67" t="str">
        <f>_xlfn.XLOOKUP(B63, tblConversions[Item], tblConversions[Type], "")</f>
        <v>Non-Hazardous Waste</v>
      </c>
      <c r="F63" s="67" t="str">
        <f>_xlfn.XLOOKUP(B63, tblConversions[Item], tblConversions[Unit], "")</f>
        <v>tonne</v>
      </c>
      <c r="G63" s="67">
        <v>1</v>
      </c>
      <c r="H63" s="67">
        <v>2.5000000000000001E-3</v>
      </c>
      <c r="I63" s="67">
        <f t="shared" ref="I63:I73" si="25">G63+H63</f>
        <v>1.0024999999999999</v>
      </c>
      <c r="J63" s="72">
        <f>_xlfn.XLOOKUP(B63, tblConversions[Item], tblConversions[Multiplier], 0)</f>
        <v>1</v>
      </c>
      <c r="K63" s="72">
        <f>_xlfn.XLOOKUP(B63, tblConversions[Item], tblConversions[GHG Factor (t CO2e per Unit)], 0)</f>
        <v>2.1000000000000001E-2</v>
      </c>
      <c r="L63" s="67">
        <f>I63*J63</f>
        <v>1.0024999999999999</v>
      </c>
      <c r="M63" s="67" t="s">
        <v>55</v>
      </c>
      <c r="N63" s="67">
        <f>G63*J63</f>
        <v>1</v>
      </c>
      <c r="O63" s="67">
        <f>H63*J63</f>
        <v>2.5000000000000001E-3</v>
      </c>
    </row>
    <row r="64" spans="1:15" x14ac:dyDescent="0.25">
      <c r="B64" s="68" t="s">
        <v>408</v>
      </c>
      <c r="C64" s="67" t="s">
        <v>376</v>
      </c>
      <c r="D64" s="67" t="str">
        <f>_xlfn.XLOOKUP(B64, tblConversions[Item], tblConversions[Category], "")</f>
        <v>Landfilling</v>
      </c>
      <c r="E64" s="67" t="str">
        <f>_xlfn.XLOOKUP(B64, tblConversions[Item], tblConversions[Type], "")</f>
        <v>Non-Hazardous Waste</v>
      </c>
      <c r="F64" s="67" t="str">
        <f>_xlfn.XLOOKUP(B64, tblConversions[Item], tblConversions[Unit], "")</f>
        <v>tonne</v>
      </c>
      <c r="G64" s="67">
        <v>0</v>
      </c>
      <c r="H64" s="67">
        <v>5.0000000000000001E-3</v>
      </c>
      <c r="I64" s="67">
        <f t="shared" si="25"/>
        <v>5.0000000000000001E-3</v>
      </c>
      <c r="J64" s="72">
        <f>_xlfn.XLOOKUP(B64, tblConversions[Item], tblConversions[Multiplier], 0)</f>
        <v>1</v>
      </c>
      <c r="K64" s="72">
        <f>_xlfn.XLOOKUP(B64, tblConversions[Item], tblConversions[GHG Factor (t CO2e per Unit)], 0)</f>
        <v>1.2</v>
      </c>
      <c r="L64" s="67">
        <f t="shared" ref="L64:L73" si="26">I64*J64</f>
        <v>5.0000000000000001E-3</v>
      </c>
      <c r="M64" s="67" t="s">
        <v>55</v>
      </c>
      <c r="N64" s="67">
        <f t="shared" ref="N64:N73" si="27">G64*J64</f>
        <v>0</v>
      </c>
      <c r="O64" s="67">
        <f t="shared" ref="O64:O73" si="28">H64*J64</f>
        <v>5.0000000000000001E-3</v>
      </c>
    </row>
    <row r="65" spans="1:15" x14ac:dyDescent="0.25">
      <c r="B65" s="68" t="s">
        <v>409</v>
      </c>
      <c r="C65" s="67" t="s">
        <v>376</v>
      </c>
      <c r="D65" s="67" t="str">
        <f>_xlfn.XLOOKUP(B65, tblConversions[Item], tblConversions[Category], "")</f>
        <v>Landfilling</v>
      </c>
      <c r="E65" s="67" t="str">
        <f>_xlfn.XLOOKUP(B65, tblConversions[Item], tblConversions[Type], "")</f>
        <v>Non-Hazardous Waste</v>
      </c>
      <c r="F65" s="67" t="str">
        <f>_xlfn.XLOOKUP(B65, tblConversions[Item], tblConversions[Unit], "")</f>
        <v>tonne</v>
      </c>
      <c r="G65" s="67">
        <v>0</v>
      </c>
      <c r="H65" s="67">
        <v>2.5000000000000001E-2</v>
      </c>
      <c r="I65" s="67">
        <f t="shared" si="25"/>
        <v>2.5000000000000001E-2</v>
      </c>
      <c r="J65" s="72">
        <f>_xlfn.XLOOKUP(B65, tblConversions[Item], tblConversions[Multiplier], 0)</f>
        <v>1</v>
      </c>
      <c r="K65" s="72">
        <f>_xlfn.XLOOKUP(B65, tblConversions[Item], tblConversions[GHG Factor (t CO2e per Unit)], 0)</f>
        <v>1.2</v>
      </c>
      <c r="L65" s="67">
        <f t="shared" si="26"/>
        <v>2.5000000000000001E-2</v>
      </c>
      <c r="M65" s="67" t="s">
        <v>55</v>
      </c>
      <c r="N65" s="67">
        <f t="shared" si="27"/>
        <v>0</v>
      </c>
      <c r="O65" s="67">
        <f t="shared" si="28"/>
        <v>2.5000000000000001E-2</v>
      </c>
    </row>
    <row r="66" spans="1:15" x14ac:dyDescent="0.25">
      <c r="B66" s="68" t="s">
        <v>247</v>
      </c>
      <c r="C66" s="67" t="s">
        <v>376</v>
      </c>
      <c r="D66" s="67" t="str">
        <f>_xlfn.XLOOKUP(B66, tblConversions[Item], tblConversions[Category], "")</f>
        <v>Landfilling</v>
      </c>
      <c r="E66" s="67" t="str">
        <f>_xlfn.XLOOKUP(B66, tblConversions[Item], tblConversions[Type], "")</f>
        <v>Non-Hazardous Waste</v>
      </c>
      <c r="F66" s="67" t="str">
        <f>_xlfn.XLOOKUP(B66, tblConversions[Item], tblConversions[Unit], "")</f>
        <v>tonne</v>
      </c>
      <c r="G66" s="67">
        <v>0</v>
      </c>
      <c r="H66" s="67">
        <v>0.01</v>
      </c>
      <c r="I66" s="67">
        <f t="shared" si="25"/>
        <v>0.01</v>
      </c>
      <c r="J66" s="72">
        <f>_xlfn.XLOOKUP(B66, tblConversions[Item], tblConversions[Multiplier], 0)</f>
        <v>1</v>
      </c>
      <c r="K66" s="72">
        <f>_xlfn.XLOOKUP(B66, tblConversions[Item], tblConversions[GHG Factor (t CO2e per Unit)], 0)</f>
        <v>1.2</v>
      </c>
      <c r="L66" s="67">
        <f t="shared" si="26"/>
        <v>0.01</v>
      </c>
      <c r="M66" s="67" t="s">
        <v>55</v>
      </c>
      <c r="N66" s="67">
        <f t="shared" si="27"/>
        <v>0</v>
      </c>
      <c r="O66" s="67">
        <f t="shared" si="28"/>
        <v>0.01</v>
      </c>
    </row>
    <row r="67" spans="1:15" x14ac:dyDescent="0.25">
      <c r="B67" s="68" t="s">
        <v>411</v>
      </c>
      <c r="C67" s="67" t="s">
        <v>376</v>
      </c>
      <c r="D67" s="67" t="str">
        <f>_xlfn.XLOOKUP(B67, tblConversions[Item], tblConversions[Category], "")</f>
        <v>Landfilling</v>
      </c>
      <c r="E67" s="67" t="str">
        <f>_xlfn.XLOOKUP(B67, tblConversions[Item], tblConversions[Type], "")</f>
        <v>Non-Hazardous Waste</v>
      </c>
      <c r="F67" s="67" t="str">
        <f>_xlfn.XLOOKUP(B67, tblConversions[Item], tblConversions[Unit], "")</f>
        <v>tonne</v>
      </c>
      <c r="G67" s="67">
        <v>0</v>
      </c>
      <c r="H67" s="67">
        <v>5.0000000000000001E-3</v>
      </c>
      <c r="I67" s="67">
        <f t="shared" si="25"/>
        <v>5.0000000000000001E-3</v>
      </c>
      <c r="J67" s="72">
        <f>_xlfn.XLOOKUP(B67, tblConversions[Item], tblConversions[Multiplier], 0)</f>
        <v>1</v>
      </c>
      <c r="K67" s="72">
        <f>_xlfn.XLOOKUP(B67, tblConversions[Item], tblConversions[GHG Factor (t CO2e per Unit)], 0)</f>
        <v>1.2</v>
      </c>
      <c r="L67" s="67">
        <f t="shared" si="26"/>
        <v>5.0000000000000001E-3</v>
      </c>
      <c r="M67" s="67" t="s">
        <v>55</v>
      </c>
      <c r="N67" s="67">
        <f t="shared" si="27"/>
        <v>0</v>
      </c>
      <c r="O67" s="67">
        <f t="shared" si="28"/>
        <v>5.0000000000000001E-3</v>
      </c>
    </row>
    <row r="68" spans="1:15" x14ac:dyDescent="0.25">
      <c r="B68" s="68" t="s">
        <v>398</v>
      </c>
      <c r="C68" s="67" t="s">
        <v>376</v>
      </c>
      <c r="D68" s="67" t="str">
        <f>_xlfn.XLOOKUP(B68, tblConversions[Item], tblConversions[Category], "")</f>
        <v>Landfilling</v>
      </c>
      <c r="E68" s="67" t="str">
        <f>_xlfn.XLOOKUP(B68, tblConversions[Item], tblConversions[Type], "")</f>
        <v>Non-Hazardous Waste</v>
      </c>
      <c r="F68" s="67" t="str">
        <f>_xlfn.XLOOKUP(B68, tblConversions[Item], tblConversions[Unit], "")</f>
        <v>tonne</v>
      </c>
      <c r="G68" s="67">
        <v>0</v>
      </c>
      <c r="H68" s="67">
        <v>3</v>
      </c>
      <c r="I68" s="67">
        <f t="shared" si="25"/>
        <v>3</v>
      </c>
      <c r="J68" s="72">
        <f>_xlfn.XLOOKUP(B68, tblConversions[Item], tblConversions[Multiplier], 0)</f>
        <v>1</v>
      </c>
      <c r="K68" s="72">
        <f>_xlfn.XLOOKUP(B68, tblConversions[Item], tblConversions[GHG Factor (t CO2e per Unit)], 0)</f>
        <v>1.2</v>
      </c>
      <c r="L68" s="67">
        <f t="shared" si="26"/>
        <v>3</v>
      </c>
      <c r="M68" s="67" t="s">
        <v>55</v>
      </c>
      <c r="N68" s="67">
        <f t="shared" si="27"/>
        <v>0</v>
      </c>
      <c r="O68" s="67">
        <f t="shared" si="28"/>
        <v>3</v>
      </c>
    </row>
    <row r="69" spans="1:15" x14ac:dyDescent="0.25">
      <c r="B69" s="68" t="s">
        <v>240</v>
      </c>
      <c r="C69" s="67" t="s">
        <v>376</v>
      </c>
      <c r="D69" s="67" t="str">
        <f>_xlfn.XLOOKUP(B69, tblConversions[Item], tblConversions[Category], "")</f>
        <v>Reused</v>
      </c>
      <c r="E69" s="67" t="str">
        <f>_xlfn.XLOOKUP(B69, tblConversions[Item], tblConversions[Type], "")</f>
        <v>Non-Hazardous Waste</v>
      </c>
      <c r="F69" s="67" t="str">
        <f>_xlfn.XLOOKUP(B69, tblConversions[Item], tblConversions[Unit], "")</f>
        <v>tonne</v>
      </c>
      <c r="G69" s="67">
        <v>0.5</v>
      </c>
      <c r="H69" s="67">
        <v>0</v>
      </c>
      <c r="I69" s="67">
        <f t="shared" si="25"/>
        <v>0.5</v>
      </c>
      <c r="J69" s="72">
        <f>_xlfn.XLOOKUP(B69, tblConversions[Item], tblConversions[Multiplier], 0)</f>
        <v>1</v>
      </c>
      <c r="K69" s="72">
        <f>_xlfn.XLOOKUP(B69, tblConversions[Item], tblConversions[GHG Factor (t CO2e per Unit)], 0)</f>
        <v>1.2</v>
      </c>
      <c r="L69" s="67">
        <f t="shared" si="26"/>
        <v>0.5</v>
      </c>
      <c r="M69" s="67" t="s">
        <v>55</v>
      </c>
      <c r="N69" s="67">
        <f t="shared" si="27"/>
        <v>0.5</v>
      </c>
      <c r="O69" s="67">
        <f t="shared" si="28"/>
        <v>0</v>
      </c>
    </row>
    <row r="70" spans="1:15" x14ac:dyDescent="0.25">
      <c r="B70" s="68" t="s">
        <v>242</v>
      </c>
      <c r="C70" s="67" t="s">
        <v>376</v>
      </c>
      <c r="D70" s="67" t="str">
        <f>_xlfn.XLOOKUP(B70, tblConversions[Item], tblConversions[Category], "")</f>
        <v>Recycled</v>
      </c>
      <c r="E70" s="67" t="str">
        <f>_xlfn.XLOOKUP(B70, tblConversions[Item], tblConversions[Type], "")</f>
        <v>Non-Hazardous Waste</v>
      </c>
      <c r="F70" s="67" t="str">
        <f>_xlfn.XLOOKUP(B70, tblConversions[Item], tblConversions[Unit], "")</f>
        <v>tonne</v>
      </c>
      <c r="G70" s="67">
        <v>1</v>
      </c>
      <c r="H70" s="67">
        <v>0</v>
      </c>
      <c r="I70" s="67">
        <f t="shared" si="25"/>
        <v>1</v>
      </c>
      <c r="J70" s="72">
        <f>_xlfn.XLOOKUP(B70, tblConversions[Item], tblConversions[Multiplier], 0)</f>
        <v>1</v>
      </c>
      <c r="K70" s="72">
        <f>_xlfn.XLOOKUP(B70, tblConversions[Item], tblConversions[GHG Factor (t CO2e per Unit)], 0)</f>
        <v>1.2</v>
      </c>
      <c r="L70" s="67">
        <f t="shared" si="26"/>
        <v>1</v>
      </c>
      <c r="M70" s="67" t="s">
        <v>55</v>
      </c>
      <c r="N70" s="67">
        <f t="shared" si="27"/>
        <v>1</v>
      </c>
      <c r="O70" s="67">
        <f t="shared" si="28"/>
        <v>0</v>
      </c>
    </row>
    <row r="71" spans="1:15" x14ac:dyDescent="0.25">
      <c r="B71" s="68" t="s">
        <v>243</v>
      </c>
      <c r="C71" s="67" t="s">
        <v>376</v>
      </c>
      <c r="D71" s="67" t="str">
        <f>_xlfn.XLOOKUP(B71, tblConversions[Item], tblConversions[Category], "")</f>
        <v>Recycled</v>
      </c>
      <c r="E71" s="67" t="str">
        <f>_xlfn.XLOOKUP(B71, tblConversions[Item], tblConversions[Type], "")</f>
        <v>Non-Hazardous Waste</v>
      </c>
      <c r="F71" s="67" t="str">
        <f>_xlfn.XLOOKUP(B71, tblConversions[Item], tblConversions[Unit], "")</f>
        <v>tonne</v>
      </c>
      <c r="G71" s="67">
        <v>1</v>
      </c>
      <c r="H71" s="67">
        <v>0</v>
      </c>
      <c r="I71" s="67">
        <f t="shared" si="25"/>
        <v>1</v>
      </c>
      <c r="J71" s="72">
        <f>_xlfn.XLOOKUP(B71, tblConversions[Item], tblConversions[Multiplier], 0)</f>
        <v>1</v>
      </c>
      <c r="K71" s="72">
        <f>_xlfn.XLOOKUP(B71, tblConversions[Item], tblConversions[GHG Factor (t CO2e per Unit)], 0)</f>
        <v>1.2</v>
      </c>
      <c r="L71" s="67">
        <f t="shared" si="26"/>
        <v>1</v>
      </c>
      <c r="M71" s="67" t="s">
        <v>55</v>
      </c>
      <c r="N71" s="67">
        <f t="shared" si="27"/>
        <v>1</v>
      </c>
      <c r="O71" s="67">
        <f t="shared" si="28"/>
        <v>0</v>
      </c>
    </row>
    <row r="72" spans="1:15" x14ac:dyDescent="0.25">
      <c r="B72" s="68" t="s">
        <v>374</v>
      </c>
      <c r="C72" s="67" t="s">
        <v>376</v>
      </c>
      <c r="D72" s="67" t="str">
        <f>_xlfn.XLOOKUP(B72, tblConversions[Item], tblConversions[Category], "")</f>
        <v>Reused</v>
      </c>
      <c r="E72" s="67" t="str">
        <f>_xlfn.XLOOKUP(B72, tblConversions[Item], tblConversions[Type], "")</f>
        <v>Non-Hazardous Waste</v>
      </c>
      <c r="F72" s="67" t="str">
        <f>_xlfn.XLOOKUP(B72, tblConversions[Item], tblConversions[Unit], "")</f>
        <v>tonne</v>
      </c>
      <c r="G72" s="67">
        <v>4</v>
      </c>
      <c r="H72" s="67">
        <v>2</v>
      </c>
      <c r="I72" s="67">
        <f t="shared" ref="I72" si="29">G72+H72</f>
        <v>6</v>
      </c>
      <c r="J72" s="72">
        <f>_xlfn.XLOOKUP(B72, tblConversions[Item], tblConversions[Multiplier], 0)</f>
        <v>1</v>
      </c>
      <c r="K72" s="72">
        <f>_xlfn.XLOOKUP(B72, tblConversions[Item], tblConversions[GHG Factor (t CO2e per Unit)], 0)</f>
        <v>1.2</v>
      </c>
      <c r="L72" s="67">
        <f t="shared" ref="L72" si="30">I72*J72</f>
        <v>6</v>
      </c>
      <c r="M72" s="67" t="s">
        <v>55</v>
      </c>
      <c r="N72" s="67">
        <f t="shared" si="27"/>
        <v>4</v>
      </c>
      <c r="O72" s="67">
        <f t="shared" si="28"/>
        <v>2</v>
      </c>
    </row>
    <row r="73" spans="1:15" x14ac:dyDescent="0.25">
      <c r="B73" s="68" t="s">
        <v>413</v>
      </c>
      <c r="C73" s="67" t="s">
        <v>376</v>
      </c>
      <c r="D73" s="67" t="str">
        <f>_xlfn.XLOOKUP(B73, tblConversions[Item], tblConversions[Category], "")</f>
        <v>Recycled</v>
      </c>
      <c r="E73" s="67" t="str">
        <f>_xlfn.XLOOKUP(B73, tblConversions[Item], tblConversions[Type], "")</f>
        <v>Non-Hazardous Waste</v>
      </c>
      <c r="F73" s="67" t="s">
        <v>244</v>
      </c>
      <c r="G73" s="67">
        <v>5.0000000000000001E-3</v>
      </c>
      <c r="H73" s="67">
        <v>0</v>
      </c>
      <c r="I73" s="67">
        <f t="shared" si="25"/>
        <v>5.0000000000000001E-3</v>
      </c>
      <c r="J73" s="72">
        <f>_xlfn.XLOOKUP(B73, tblConversions[Item], tblConversions[Multiplier], 0)</f>
        <v>1</v>
      </c>
      <c r="K73" s="72">
        <f>_xlfn.XLOOKUP(B73, tblConversions[Item], tblConversions[GHG Factor (t CO2e per Unit)], 0)</f>
        <v>0</v>
      </c>
      <c r="L73" s="67">
        <f t="shared" si="26"/>
        <v>5.0000000000000001E-3</v>
      </c>
      <c r="M73" s="67" t="s">
        <v>55</v>
      </c>
      <c r="N73" s="67">
        <f t="shared" si="27"/>
        <v>5.0000000000000001E-3</v>
      </c>
      <c r="O73" s="67">
        <f t="shared" si="28"/>
        <v>0</v>
      </c>
    </row>
    <row r="74" spans="1:15" x14ac:dyDescent="0.25">
      <c r="C74" s="67" t="str">
        <f>_xlfn.XLOOKUP(B74, tblConversions[Item], tblConversions[State], "" )</f>
        <v/>
      </c>
      <c r="D74" s="67"/>
      <c r="E74" s="67"/>
      <c r="F74" s="67"/>
      <c r="G74" s="67"/>
      <c r="H74" s="67"/>
      <c r="I74" s="67"/>
      <c r="J74" s="72"/>
      <c r="K74" s="72"/>
      <c r="L74" s="67"/>
      <c r="M74" s="67"/>
      <c r="N74" s="67"/>
      <c r="O74" s="67"/>
    </row>
    <row r="75" spans="1:15" s="86" customFormat="1" ht="17.399999999999999" x14ac:dyDescent="0.3">
      <c r="A75" s="75" t="s">
        <v>262</v>
      </c>
      <c r="B75" s="75" t="s">
        <v>228</v>
      </c>
      <c r="C75" s="69" t="str">
        <f>_xlfn.XLOOKUP(B75, tblConversions[Item], tblConversions[State], "" )</f>
        <v/>
      </c>
      <c r="D75" s="69"/>
      <c r="E75" s="69"/>
      <c r="F75" s="69"/>
      <c r="G75" s="69"/>
      <c r="H75" s="69"/>
      <c r="I75" s="69"/>
      <c r="J75" s="76"/>
      <c r="K75" s="76"/>
      <c r="L75" s="69"/>
      <c r="M75" s="69"/>
      <c r="N75" s="69"/>
      <c r="O75" s="69"/>
    </row>
    <row r="76" spans="1:15" s="84" customFormat="1" ht="46.8" x14ac:dyDescent="0.3">
      <c r="A76" s="64"/>
      <c r="B76" s="64"/>
      <c r="C76" s="67" t="str">
        <f>_xlfn.XLOOKUP(B76, tblConversions[Item], tblConversions[State], "" )</f>
        <v/>
      </c>
      <c r="D76" s="65"/>
      <c r="E76" s="65"/>
      <c r="F76" s="65"/>
      <c r="G76" s="65" t="s">
        <v>283</v>
      </c>
      <c r="H76" s="65" t="s">
        <v>282</v>
      </c>
      <c r="I76" s="65" t="s">
        <v>205</v>
      </c>
      <c r="J76" s="65" t="s">
        <v>380</v>
      </c>
      <c r="K76" s="72" t="s">
        <v>209</v>
      </c>
      <c r="L76" s="65" t="s">
        <v>249</v>
      </c>
      <c r="M76" s="65" t="s">
        <v>55</v>
      </c>
      <c r="N76" s="65" t="s">
        <v>176</v>
      </c>
      <c r="O76" s="65" t="s">
        <v>177</v>
      </c>
    </row>
    <row r="77" spans="1:15" x14ac:dyDescent="0.25">
      <c r="B77" s="68" t="s">
        <v>406</v>
      </c>
      <c r="C77" s="67" t="s">
        <v>376</v>
      </c>
      <c r="D77" s="67" t="str">
        <f>_xlfn.XLOOKUP(B77, tblConversions[Item], tblConversions[Category], "")</f>
        <v>Water Emission</v>
      </c>
      <c r="E77" s="67" t="str">
        <f>_xlfn.XLOOKUP(B77, tblConversions[Item], tblConversions[Type], "")</f>
        <v>Hazardous Waste</v>
      </c>
      <c r="F77" s="67" t="str">
        <f>_xlfn.XLOOKUP(B77, tblConversions[Item], tblConversions[Unit], "")</f>
        <v>tonne</v>
      </c>
      <c r="G77" s="67">
        <v>0</v>
      </c>
      <c r="H77" s="67">
        <v>5.0000000000000001E-3</v>
      </c>
      <c r="I77" s="67">
        <f t="shared" ref="I77" si="31">G77+H77</f>
        <v>5.0000000000000001E-3</v>
      </c>
      <c r="J77" s="72">
        <f>_xlfn.XLOOKUP(B77, tblConversions[Item], tblConversions[Multiplier], 0)</f>
        <v>1</v>
      </c>
      <c r="K77" s="72">
        <f>_xlfn.XLOOKUP(B77, tblConversions[Item], tblConversions[GHG Factor (t CO2e per Unit)], 0)</f>
        <v>0</v>
      </c>
      <c r="L77" s="67">
        <f>I77*J77</f>
        <v>5.0000000000000001E-3</v>
      </c>
      <c r="M77" s="67" t="s">
        <v>55</v>
      </c>
      <c r="N77" s="67">
        <f>G77*J77</f>
        <v>0</v>
      </c>
      <c r="O77" s="67">
        <f>H77*J77</f>
        <v>5.0000000000000001E-3</v>
      </c>
    </row>
    <row r="78" spans="1:15" x14ac:dyDescent="0.25">
      <c r="B78" s="68" t="s">
        <v>246</v>
      </c>
      <c r="C78" s="67" t="s">
        <v>376</v>
      </c>
      <c r="D78" s="67" t="str">
        <f>_xlfn.XLOOKUP(B78, tblConversions[Item], tblConversions[Category], "")</f>
        <v>Incineration</v>
      </c>
      <c r="E78" s="67" t="str">
        <f>_xlfn.XLOOKUP(B78, tblConversions[Item], tblConversions[Type], "")</f>
        <v>Hazardous Waste</v>
      </c>
      <c r="F78" s="67" t="str">
        <f>_xlfn.XLOOKUP(B78, tblConversions[Item], tblConversions[Unit], "")</f>
        <v>tonne</v>
      </c>
      <c r="G78" s="67">
        <v>0</v>
      </c>
      <c r="H78" s="67">
        <v>2.5000000000000001E-2</v>
      </c>
      <c r="I78" s="67">
        <f t="shared" ref="I78:I88" si="32">G78+H78</f>
        <v>2.5000000000000001E-2</v>
      </c>
      <c r="J78" s="72">
        <f>_xlfn.XLOOKUP(B78, tblConversions[Item], tblConversions[Multiplier], 0)</f>
        <v>1</v>
      </c>
      <c r="K78" s="72">
        <f>_xlfn.XLOOKUP(B78, tblConversions[Item], tblConversions[GHG Factor (t CO2e per Unit)], 0)</f>
        <v>1.2</v>
      </c>
      <c r="L78" s="67">
        <f t="shared" ref="L78:L88" si="33">I78*J78</f>
        <v>2.5000000000000001E-2</v>
      </c>
      <c r="M78" s="67" t="s">
        <v>55</v>
      </c>
      <c r="N78" s="67">
        <f>G78*J78</f>
        <v>0</v>
      </c>
      <c r="O78" s="67">
        <f>H78*J78</f>
        <v>2.5000000000000001E-2</v>
      </c>
    </row>
    <row r="79" spans="1:15" ht="30" x14ac:dyDescent="0.25">
      <c r="B79" s="68" t="s">
        <v>241</v>
      </c>
      <c r="C79" s="67" t="s">
        <v>376</v>
      </c>
      <c r="D79" s="67" t="str">
        <f>_xlfn.XLOOKUP(B79, tblConversions[Item], tblConversions[Category], "")</f>
        <v>Incineration</v>
      </c>
      <c r="E79" s="67" t="str">
        <f>_xlfn.XLOOKUP(B79, tblConversions[Item], tblConversions[Type], "")</f>
        <v>Hazardous Waste</v>
      </c>
      <c r="F79" s="67" t="str">
        <f>_xlfn.XLOOKUP(B79, tblConversions[Item], tblConversions[Unit], "")</f>
        <v>tonne</v>
      </c>
      <c r="G79" s="67">
        <v>0</v>
      </c>
      <c r="H79" s="67">
        <v>2.5000000000000001E-2</v>
      </c>
      <c r="I79" s="67">
        <f t="shared" si="32"/>
        <v>2.5000000000000001E-2</v>
      </c>
      <c r="J79" s="72">
        <f>_xlfn.XLOOKUP(B79, tblConversions[Item], tblConversions[Multiplier], 0)</f>
        <v>1</v>
      </c>
      <c r="K79" s="72">
        <f>_xlfn.XLOOKUP(B79, tblConversions[Item], tblConversions[GHG Factor (t CO2e per Unit)], 0)</f>
        <v>1.2</v>
      </c>
      <c r="L79" s="67">
        <f t="shared" si="33"/>
        <v>2.5000000000000001E-2</v>
      </c>
      <c r="M79" s="67" t="s">
        <v>55</v>
      </c>
      <c r="N79" s="67">
        <f>G79*J79</f>
        <v>0</v>
      </c>
      <c r="O79" s="67">
        <f>H79*J79</f>
        <v>2.5000000000000001E-2</v>
      </c>
    </row>
    <row r="80" spans="1:15" x14ac:dyDescent="0.25">
      <c r="B80" s="68" t="s">
        <v>397</v>
      </c>
      <c r="C80" s="67" t="s">
        <v>376</v>
      </c>
      <c r="D80" s="67" t="str">
        <f>_xlfn.XLOOKUP(B80, tblConversions[Item], tblConversions[Category], "")</f>
        <v>Incineration</v>
      </c>
      <c r="E80" s="67" t="str">
        <f>_xlfn.XLOOKUP(B80, tblConversions[Item], tblConversions[Type], "")</f>
        <v>Hazardous Waste</v>
      </c>
      <c r="F80" s="67" t="str">
        <f>_xlfn.XLOOKUP(B80, tblConversions[Item], tblConversions[Unit], "")</f>
        <v>tonne</v>
      </c>
      <c r="G80" s="67">
        <v>0</v>
      </c>
      <c r="H80" s="67">
        <v>2.5000000000000001E-2</v>
      </c>
      <c r="I80" s="67">
        <f t="shared" si="32"/>
        <v>2.5000000000000001E-2</v>
      </c>
      <c r="J80" s="72">
        <f>_xlfn.XLOOKUP(B80, tblConversions[Item], tblConversions[Multiplier], 0)</f>
        <v>1</v>
      </c>
      <c r="K80" s="72">
        <f>_xlfn.XLOOKUP(B80, tblConversions[Item], tblConversions[GHG Factor (t CO2e per Unit)], 0)</f>
        <v>1.2</v>
      </c>
      <c r="L80" s="67">
        <f t="shared" si="33"/>
        <v>2.5000000000000001E-2</v>
      </c>
      <c r="M80" s="67" t="s">
        <v>55</v>
      </c>
      <c r="N80" s="67">
        <f>G80*J80</f>
        <v>0</v>
      </c>
      <c r="O80" s="67">
        <f>H80*J80</f>
        <v>2.5000000000000001E-2</v>
      </c>
    </row>
    <row r="81" spans="1:15" x14ac:dyDescent="0.25">
      <c r="C81" s="67" t="str">
        <f>_xlfn.XLOOKUP(B81, tblConversions[Item], tblConversions[State], "" )</f>
        <v/>
      </c>
      <c r="D81" s="67"/>
      <c r="E81" s="67"/>
      <c r="F81" s="67"/>
      <c r="G81" s="67"/>
      <c r="H81" s="67"/>
      <c r="I81" s="67"/>
      <c r="J81" s="67"/>
      <c r="K81" s="72"/>
      <c r="L81" s="67"/>
      <c r="M81" s="67"/>
      <c r="N81" s="67"/>
      <c r="O81" s="67"/>
    </row>
    <row r="82" spans="1:15" s="86" customFormat="1" ht="17.399999999999999" x14ac:dyDescent="0.3">
      <c r="A82" s="75" t="s">
        <v>286</v>
      </c>
      <c r="B82" s="75" t="s">
        <v>287</v>
      </c>
      <c r="C82" s="69" t="str">
        <f>_xlfn.XLOOKUP(B82, tblConversions[Item], tblConversions[State], "" )</f>
        <v/>
      </c>
      <c r="D82" s="69"/>
      <c r="E82" s="69"/>
      <c r="F82" s="69"/>
      <c r="G82" s="69"/>
      <c r="H82" s="69"/>
      <c r="I82" s="69"/>
      <c r="J82" s="69"/>
      <c r="K82" s="76"/>
      <c r="L82" s="69"/>
      <c r="M82" s="69"/>
      <c r="N82" s="69"/>
      <c r="O82" s="69"/>
    </row>
    <row r="83" spans="1:15" ht="45" x14ac:dyDescent="0.25">
      <c r="C83" s="67" t="str">
        <f>_xlfn.XLOOKUP(B83, tblConversions[Item], tblConversions[State], "" )</f>
        <v/>
      </c>
      <c r="D83" s="67"/>
      <c r="E83" s="67"/>
      <c r="F83" s="67"/>
      <c r="G83" s="65" t="s">
        <v>283</v>
      </c>
      <c r="H83" s="65" t="s">
        <v>291</v>
      </c>
      <c r="I83" s="65" t="s">
        <v>205</v>
      </c>
      <c r="J83" s="65" t="s">
        <v>380</v>
      </c>
      <c r="K83" s="72" t="s">
        <v>379</v>
      </c>
      <c r="L83" s="67" t="s">
        <v>249</v>
      </c>
      <c r="M83" s="67" t="s">
        <v>55</v>
      </c>
      <c r="N83" s="67" t="s">
        <v>377</v>
      </c>
      <c r="O83" s="67" t="s">
        <v>378</v>
      </c>
    </row>
    <row r="84" spans="1:15" x14ac:dyDescent="0.25">
      <c r="B84" s="68" t="s">
        <v>319</v>
      </c>
      <c r="C84" s="67" t="str">
        <f>_xlfn.XLOOKUP(B84, tblConversions[Item], tblConversions[State], "" )</f>
        <v>Material</v>
      </c>
      <c r="D84" s="67" t="str">
        <f>_xlfn.XLOOKUP(B84, tblConversions[Item], tblConversions[Category], "")</f>
        <v>Virgin</v>
      </c>
      <c r="E84" s="67" t="str">
        <f>_xlfn.XLOOKUP(B84, tblConversions[Item], tblConversions[Type], "")</f>
        <v>Manufacturing</v>
      </c>
      <c r="F84" s="67" t="str">
        <f>_xlfn.XLOOKUP(B84, tblConversions[Item], tblConversions[Unit], "")</f>
        <v>tonnes</v>
      </c>
      <c r="G84" s="67">
        <v>0</v>
      </c>
      <c r="H84" s="67">
        <v>0.5</v>
      </c>
      <c r="I84" s="67">
        <f t="shared" ref="I84:I85" si="34">G84+H84</f>
        <v>0.5</v>
      </c>
      <c r="J84" s="72">
        <f>_xlfn.XLOOKUP(B84, tblConversions[Item], tblConversions[Multiplier], 0)</f>
        <v>1</v>
      </c>
      <c r="K84" s="72">
        <f>_xlfn.XLOOKUP(B84, tblConversions[Item], tblConversions[GHG Factor (t CO2e per Unit)], 0)</f>
        <v>0</v>
      </c>
      <c r="L84" s="67">
        <f t="shared" ref="L84:L85" si="35">I84*J84</f>
        <v>0.5</v>
      </c>
      <c r="M84" s="67" t="s">
        <v>55</v>
      </c>
      <c r="N84" s="67">
        <f>G84*J84</f>
        <v>0</v>
      </c>
      <c r="O84" s="67">
        <f>H84*J84</f>
        <v>0.5</v>
      </c>
    </row>
    <row r="85" spans="1:15" ht="30" x14ac:dyDescent="0.25">
      <c r="B85" s="68" t="s">
        <v>320</v>
      </c>
      <c r="C85" s="67" t="str">
        <f>_xlfn.XLOOKUP(B85, tblConversions[Item], tblConversions[State], "" )</f>
        <v>Material</v>
      </c>
      <c r="D85" s="67" t="s">
        <v>385</v>
      </c>
      <c r="E85" s="67" t="str">
        <f>_xlfn.XLOOKUP(B85, tblConversions[Item], tblConversions[Type], "")</f>
        <v>Manufacturing</v>
      </c>
      <c r="F85" s="67" t="str">
        <f>_xlfn.XLOOKUP(B85, tblConversions[Item], tblConversions[Unit], "")</f>
        <v>tonnes</v>
      </c>
      <c r="G85" s="67">
        <v>20</v>
      </c>
      <c r="H85" s="67">
        <v>150</v>
      </c>
      <c r="I85" s="67">
        <f t="shared" si="34"/>
        <v>170</v>
      </c>
      <c r="J85" s="72">
        <f>_xlfn.XLOOKUP(B85, tblConversions[Item], tblConversions[Multiplier], 0)</f>
        <v>1</v>
      </c>
      <c r="K85" s="72">
        <f>_xlfn.XLOOKUP(B85, tblConversions[Item], tblConversions[GHG Factor (t CO2e per Unit)], 0)</f>
        <v>0</v>
      </c>
      <c r="L85" s="67">
        <f t="shared" si="35"/>
        <v>170</v>
      </c>
      <c r="M85" s="67" t="s">
        <v>55</v>
      </c>
      <c r="N85" s="67">
        <f t="shared" ref="N85:N88" si="36">G85*J85</f>
        <v>20</v>
      </c>
      <c r="O85" s="67">
        <f t="shared" ref="O85:O88" si="37">H85*J85</f>
        <v>150</v>
      </c>
    </row>
    <row r="86" spans="1:15" x14ac:dyDescent="0.25">
      <c r="B86" s="68" t="s">
        <v>280</v>
      </c>
      <c r="C86" s="67" t="str">
        <f>_xlfn.XLOOKUP(B86, tblConversions[Item], tblConversions[State], "" )</f>
        <v>Material</v>
      </c>
      <c r="D86" s="67" t="str">
        <f>_xlfn.XLOOKUP(B86, tblConversions[Item], tblConversions[Category], "")</f>
        <v>Single-Use</v>
      </c>
      <c r="E86" s="67" t="str">
        <f>_xlfn.XLOOKUP(B86, tblConversions[Item], tblConversions[Type], "")</f>
        <v>Packaging</v>
      </c>
      <c r="F86" s="67" t="str">
        <f>_xlfn.XLOOKUP(B86, tblConversions[Item], tblConversions[Unit], "")</f>
        <v>tonnes</v>
      </c>
      <c r="G86" s="67">
        <v>2</v>
      </c>
      <c r="H86" s="67">
        <v>0</v>
      </c>
      <c r="I86" s="67">
        <f t="shared" si="32"/>
        <v>2</v>
      </c>
      <c r="J86" s="72">
        <f>_xlfn.XLOOKUP(B86, tblConversions[Item], tblConversions[Multiplier], 0)</f>
        <v>1</v>
      </c>
      <c r="K86" s="72">
        <f>_xlfn.XLOOKUP(B86, tblConversions[Item], tblConversions[GHG Factor (t CO2e per Unit)], 0)</f>
        <v>0</v>
      </c>
      <c r="L86" s="67">
        <f t="shared" si="33"/>
        <v>2</v>
      </c>
      <c r="M86" s="67" t="s">
        <v>55</v>
      </c>
      <c r="N86" s="67">
        <f t="shared" si="36"/>
        <v>2</v>
      </c>
      <c r="O86" s="67">
        <f t="shared" si="37"/>
        <v>0</v>
      </c>
    </row>
    <row r="87" spans="1:15" ht="30" x14ac:dyDescent="0.25">
      <c r="B87" s="68" t="s">
        <v>285</v>
      </c>
      <c r="C87" s="67" t="str">
        <f>_xlfn.XLOOKUP(B87, tblConversions[Item], tblConversions[State], "" )</f>
        <v>Material</v>
      </c>
      <c r="D87" s="67" t="s">
        <v>385</v>
      </c>
      <c r="E87" s="67" t="str">
        <f>_xlfn.XLOOKUP(B87, tblConversions[Item], tblConversions[Type], "")</f>
        <v>Packaging</v>
      </c>
      <c r="F87" s="67" t="str">
        <f>_xlfn.XLOOKUP(B87, tblConversions[Item], tblConversions[Unit], "")</f>
        <v>tonnes</v>
      </c>
      <c r="G87" s="67">
        <v>5</v>
      </c>
      <c r="H87" s="67">
        <v>2</v>
      </c>
      <c r="I87" s="67">
        <f t="shared" si="32"/>
        <v>7</v>
      </c>
      <c r="J87" s="72">
        <f>_xlfn.XLOOKUP(B87, tblConversions[Item], tblConversions[Multiplier], 0)</f>
        <v>1</v>
      </c>
      <c r="K87" s="72">
        <f>_xlfn.XLOOKUP(B87, tblConversions[Item], tblConversions[GHG Factor (t CO2e per Unit)], 0)</f>
        <v>0</v>
      </c>
      <c r="L87" s="67">
        <f t="shared" si="33"/>
        <v>7</v>
      </c>
      <c r="M87" s="67" t="s">
        <v>55</v>
      </c>
      <c r="N87" s="67">
        <f t="shared" si="36"/>
        <v>5</v>
      </c>
      <c r="O87" s="67">
        <f t="shared" si="37"/>
        <v>2</v>
      </c>
    </row>
    <row r="88" spans="1:15" ht="30" x14ac:dyDescent="0.25">
      <c r="B88" s="68" t="s">
        <v>284</v>
      </c>
      <c r="C88" s="67" t="str">
        <f>_xlfn.XLOOKUP(B88, tblConversions[Item], tblConversions[State], "" )</f>
        <v>Material</v>
      </c>
      <c r="D88" s="67" t="s">
        <v>385</v>
      </c>
      <c r="E88" s="67" t="str">
        <f>_xlfn.XLOOKUP(B88, tblConversions[Item], tblConversions[Type], "")</f>
        <v>Packaging</v>
      </c>
      <c r="F88" s="67" t="str">
        <f>_xlfn.XLOOKUP(B88, tblConversions[Item], tblConversions[Unit], "")</f>
        <v>tonnes</v>
      </c>
      <c r="G88" s="67">
        <v>2</v>
      </c>
      <c r="H88" s="67">
        <v>0.5</v>
      </c>
      <c r="I88" s="67">
        <f t="shared" si="32"/>
        <v>2.5</v>
      </c>
      <c r="J88" s="72">
        <f>_xlfn.XLOOKUP(B88, tblConversions[Item], tblConversions[Multiplier], 0)</f>
        <v>1</v>
      </c>
      <c r="K88" s="72">
        <f>_xlfn.XLOOKUP(B88, tblConversions[Item], tblConversions[GHG Factor (t CO2e per Unit)], 0)</f>
        <v>0</v>
      </c>
      <c r="L88" s="67">
        <f t="shared" si="33"/>
        <v>2.5</v>
      </c>
      <c r="M88" s="67" t="s">
        <v>55</v>
      </c>
      <c r="N88" s="67">
        <f t="shared" si="36"/>
        <v>2</v>
      </c>
      <c r="O88" s="67">
        <f t="shared" si="37"/>
        <v>0.5</v>
      </c>
    </row>
    <row r="89" spans="1:15" x14ac:dyDescent="0.25">
      <c r="C89" s="67" t="str">
        <f>_xlfn.XLOOKUP(B89, tblConversions[Item], tblConversions[State], "" )</f>
        <v/>
      </c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</row>
    <row r="90" spans="1:15" s="85" customFormat="1" ht="21" x14ac:dyDescent="0.4">
      <c r="A90" s="80" t="s">
        <v>0</v>
      </c>
      <c r="B90" s="80" t="s">
        <v>271</v>
      </c>
      <c r="C90" s="81" t="str">
        <f>_xlfn.XLOOKUP(B90, tblConversions[Item], tblConversions[State], "" )</f>
        <v/>
      </c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</row>
    <row r="91" spans="1:15" s="86" customFormat="1" ht="17.399999999999999" x14ac:dyDescent="0.3">
      <c r="A91" s="75" t="s">
        <v>278</v>
      </c>
      <c r="B91" s="75" t="s">
        <v>298</v>
      </c>
      <c r="C91" s="69" t="str">
        <f>_xlfn.XLOOKUP(B91, tblConversions[Item], tblConversions[State], "" )</f>
        <v/>
      </c>
      <c r="D91" s="69"/>
      <c r="E91" s="69"/>
      <c r="F91" s="69"/>
      <c r="G91" s="69"/>
      <c r="H91" s="69"/>
      <c r="I91" s="69"/>
      <c r="J91" s="69"/>
      <c r="K91" s="76"/>
      <c r="L91" s="69"/>
      <c r="M91" s="69"/>
      <c r="N91" s="69"/>
      <c r="O91" s="69"/>
    </row>
    <row r="92" spans="1:15" s="84" customFormat="1" ht="62.4" x14ac:dyDescent="0.3">
      <c r="A92" s="64"/>
      <c r="B92" s="64" t="s">
        <v>304</v>
      </c>
      <c r="C92" s="65" t="str">
        <f>_xlfn.XLOOKUP(B92, tblConversions[Item], tblConversions[State], "" )</f>
        <v/>
      </c>
      <c r="D92" s="65"/>
      <c r="E92" s="65"/>
      <c r="F92" s="65"/>
      <c r="G92" s="65"/>
      <c r="H92" s="65" t="s">
        <v>309</v>
      </c>
      <c r="I92" s="65" t="s">
        <v>205</v>
      </c>
      <c r="J92" s="65" t="s">
        <v>118</v>
      </c>
      <c r="K92" s="66" t="s">
        <v>55</v>
      </c>
      <c r="L92" s="65" t="s">
        <v>308</v>
      </c>
      <c r="M92" s="65"/>
      <c r="N92" s="65"/>
      <c r="O92" s="65"/>
    </row>
    <row r="93" spans="1:15" ht="30" x14ac:dyDescent="0.25">
      <c r="B93" s="68" t="s">
        <v>300</v>
      </c>
      <c r="C93" s="67" t="str">
        <f>_xlfn.XLOOKUP(B93, tblConversions[Item], tblConversions[State], "" )</f>
        <v>Manufacturing Plant</v>
      </c>
      <c r="D93" s="67" t="str">
        <f>_xlfn.XLOOKUP(B93, tblConversions[Item], tblConversions[Category], "")</f>
        <v>Sealed</v>
      </c>
      <c r="E93" s="67" t="str">
        <f>_xlfn.XLOOKUP(B93, tblConversions[Item], tblConversions[Type], "")</f>
        <v>Land Use</v>
      </c>
      <c r="F93" s="67" t="str">
        <f>_xlfn.XLOOKUP(B93, tblConversions[Item], tblConversions[Unit], "")</f>
        <v>m2</v>
      </c>
      <c r="G93" s="67">
        <v>0</v>
      </c>
      <c r="H93" s="67">
        <v>30</v>
      </c>
      <c r="I93" s="67">
        <f t="shared" ref="I93:I94" si="38">G93+H93</f>
        <v>30</v>
      </c>
      <c r="J93" s="72">
        <f>_xlfn.XLOOKUP(B93, tblConversions[Item], tblConversions[Multiplier], 0)</f>
        <v>1</v>
      </c>
      <c r="K93" s="72">
        <f>_xlfn.XLOOKUP(B93, tblConversions[Item], tblConversions[GHG Factor (t CO2e per Unit)], 0)</f>
        <v>0</v>
      </c>
      <c r="L93" s="67">
        <f t="shared" ref="L93:L94" si="39">I93*J93</f>
        <v>30</v>
      </c>
      <c r="M93" s="67"/>
      <c r="N93" s="67"/>
      <c r="O93" s="67"/>
    </row>
    <row r="94" spans="1:15" ht="30" x14ac:dyDescent="0.25">
      <c r="B94" s="68" t="s">
        <v>302</v>
      </c>
      <c r="C94" s="67" t="str">
        <f>_xlfn.XLOOKUP(B94, tblConversions[Item], tblConversions[State], "" )</f>
        <v>Manufacturing Plant</v>
      </c>
      <c r="D94" s="67" t="str">
        <f>_xlfn.XLOOKUP(B94, tblConversions[Item], tblConversions[Category], "")</f>
        <v>Sensitive Area</v>
      </c>
      <c r="E94" s="67" t="str">
        <f>_xlfn.XLOOKUP(B94, tblConversions[Item], tblConversions[Type], "")</f>
        <v>Land Use</v>
      </c>
      <c r="F94" s="67" t="str">
        <f>_xlfn.XLOOKUP(B94, tblConversions[Item], tblConversions[Unit], "")</f>
        <v>m2</v>
      </c>
      <c r="G94" s="67">
        <v>0</v>
      </c>
      <c r="H94" s="67">
        <v>200</v>
      </c>
      <c r="I94" s="67">
        <f t="shared" si="38"/>
        <v>200</v>
      </c>
      <c r="J94" s="72">
        <f>_xlfn.XLOOKUP(B94, tblConversions[Item], tblConversions[Multiplier], 0)</f>
        <v>1</v>
      </c>
      <c r="K94" s="72">
        <f>_xlfn.XLOOKUP(B94, tblConversions[Item], tblConversions[GHG Factor (t CO2e per Unit)], 0)</f>
        <v>0</v>
      </c>
      <c r="L94" s="67">
        <f t="shared" si="39"/>
        <v>200</v>
      </c>
      <c r="M94" s="67"/>
      <c r="N94" s="67"/>
      <c r="O94" s="67"/>
    </row>
    <row r="95" spans="1:15" ht="30" x14ac:dyDescent="0.25">
      <c r="B95" s="68" t="s">
        <v>303</v>
      </c>
      <c r="C95" s="67" t="str">
        <f>_xlfn.XLOOKUP(B95, tblConversions[Item], tblConversions[State], "" )</f>
        <v>Manufacturing Plant</v>
      </c>
      <c r="D95" s="67" t="str">
        <f>_xlfn.XLOOKUP(B95, tblConversions[Item], tblConversions[Category], "")</f>
        <v>Sensitive Area</v>
      </c>
      <c r="E95" s="67" t="str">
        <f>_xlfn.XLOOKUP(B95, tblConversions[Item], tblConversions[Type], "")</f>
        <v>Land Use</v>
      </c>
      <c r="F95" s="67" t="str">
        <f>_xlfn.XLOOKUP(B95, tblConversions[Item], tblConversions[Unit], "")</f>
        <v>m2</v>
      </c>
      <c r="G95" s="67">
        <v>0</v>
      </c>
      <c r="H95" s="67">
        <v>50</v>
      </c>
      <c r="I95" s="67">
        <f t="shared" ref="I95" si="40">G95+H95</f>
        <v>50</v>
      </c>
      <c r="J95" s="72">
        <f>_xlfn.XLOOKUP(B95, tblConversions[Item], tblConversions[Multiplier], 0)</f>
        <v>1</v>
      </c>
      <c r="K95" s="72">
        <f>_xlfn.XLOOKUP(B95, tblConversions[Item], tblConversions[GHG Factor (t CO2e per Unit)], 0)</f>
        <v>0</v>
      </c>
      <c r="L95" s="67">
        <f t="shared" ref="L95" si="41">I95*J95</f>
        <v>50</v>
      </c>
      <c r="M95" s="67"/>
      <c r="N95" s="67"/>
      <c r="O95" s="67"/>
    </row>
    <row r="96" spans="1:15" x14ac:dyDescent="0.25">
      <c r="C96" s="67"/>
      <c r="D96" s="67"/>
      <c r="E96" s="67"/>
      <c r="F96" s="67"/>
      <c r="G96" s="67"/>
      <c r="H96" s="67"/>
      <c r="I96" s="67"/>
      <c r="J96" s="72"/>
      <c r="K96" s="72"/>
      <c r="L96" s="67"/>
      <c r="M96" s="67"/>
      <c r="N96" s="67"/>
      <c r="O96" s="67"/>
    </row>
    <row r="97" spans="1:15" s="86" customFormat="1" ht="17.399999999999999" x14ac:dyDescent="0.3">
      <c r="A97" s="75" t="s">
        <v>434</v>
      </c>
      <c r="B97" s="75" t="s">
        <v>202</v>
      </c>
      <c r="C97" s="69" t="str">
        <f>_xlfn.XLOOKUP(B97, tblConversions[Item], tblConversions[State], "" )</f>
        <v/>
      </c>
      <c r="D97" s="69"/>
      <c r="E97" s="69"/>
      <c r="F97" s="69"/>
      <c r="G97" s="69"/>
      <c r="H97" s="69"/>
      <c r="I97" s="69"/>
      <c r="J97" s="69"/>
      <c r="K97" s="76"/>
      <c r="L97" s="69"/>
      <c r="M97" s="69"/>
      <c r="N97" s="69"/>
      <c r="O97" s="69"/>
    </row>
    <row r="98" spans="1:15" s="84" customFormat="1" ht="31.2" x14ac:dyDescent="0.3">
      <c r="A98" s="64"/>
      <c r="B98" s="64" t="s">
        <v>304</v>
      </c>
      <c r="C98" s="65"/>
      <c r="D98" s="65"/>
      <c r="E98" s="65"/>
      <c r="F98" s="65"/>
      <c r="G98" s="65"/>
      <c r="H98" s="65" t="s">
        <v>435</v>
      </c>
      <c r="I98" s="65"/>
      <c r="J98" s="65"/>
      <c r="K98" s="66"/>
      <c r="L98" s="65" t="s">
        <v>436</v>
      </c>
      <c r="M98" s="65"/>
      <c r="N98" s="65"/>
      <c r="O98" s="65"/>
    </row>
    <row r="99" spans="1:15" ht="30" x14ac:dyDescent="0.25">
      <c r="B99" s="68" t="s">
        <v>425</v>
      </c>
      <c r="C99" s="67" t="str">
        <f>_xlfn.XLOOKUP(B99, tblConversions[Item], tblConversions[State], "" )</f>
        <v>Biodiversity</v>
      </c>
      <c r="D99" s="67" t="str">
        <f>_xlfn.XLOOKUP(B99, tblConversions[Item], tblConversions[Category], "")</f>
        <v>Sensitive Area</v>
      </c>
      <c r="E99" s="67" t="str">
        <f>_xlfn.XLOOKUP(B99, tblConversions[Item], tblConversions[Type], "")</f>
        <v>Sourcing</v>
      </c>
      <c r="F99" s="67" t="str">
        <f>_xlfn.XLOOKUP(B99, tblConversions[Item], tblConversions[Unit], "")</f>
        <v>tonnes</v>
      </c>
      <c r="G99" s="67">
        <v>0</v>
      </c>
      <c r="H99" s="67">
        <v>1</v>
      </c>
      <c r="I99" s="67">
        <f t="shared" ref="I99:I102" si="42">G99+H99</f>
        <v>1</v>
      </c>
      <c r="J99" s="72">
        <f>_xlfn.XLOOKUP(B99, tblConversions[Item], tblConversions[Multiplier], 0)</f>
        <v>1</v>
      </c>
      <c r="K99" s="72">
        <f>_xlfn.XLOOKUP(B99, tblConversions[Item], tblConversions[GHG Factor (t CO2e per Unit)], 0)</f>
        <v>0</v>
      </c>
      <c r="L99" s="67">
        <f t="shared" ref="L99:L102" si="43">I99*J99</f>
        <v>1</v>
      </c>
      <c r="M99" s="67"/>
      <c r="N99" s="67"/>
      <c r="O99" s="67"/>
    </row>
    <row r="100" spans="1:15" ht="30" x14ac:dyDescent="0.25">
      <c r="B100" s="68" t="s">
        <v>427</v>
      </c>
      <c r="C100" s="67" t="str">
        <f>_xlfn.XLOOKUP(B100, tblConversions[Item], tblConversions[State], "" )</f>
        <v>Biodiversity</v>
      </c>
      <c r="D100" s="67" t="str">
        <f>_xlfn.XLOOKUP(B100, tblConversions[Item], tblConversions[Category], "")</f>
        <v>Sensitive Area</v>
      </c>
      <c r="E100" s="67" t="str">
        <f>_xlfn.XLOOKUP(B100, tblConversions[Item], tblConversions[Type], "")</f>
        <v>Water Usage</v>
      </c>
      <c r="F100" s="67" t="str">
        <f>_xlfn.XLOOKUP(B100, tblConversions[Item], tblConversions[Unit], "")</f>
        <v>m3</v>
      </c>
      <c r="G100" s="67">
        <v>0</v>
      </c>
      <c r="H100" s="67">
        <v>120</v>
      </c>
      <c r="I100" s="67">
        <f t="shared" si="42"/>
        <v>120</v>
      </c>
      <c r="J100" s="72">
        <f>_xlfn.XLOOKUP(B100, tblConversions[Item], tblConversions[Multiplier], 0)</f>
        <v>1</v>
      </c>
      <c r="K100" s="72">
        <f>_xlfn.XLOOKUP(B100, tblConversions[Item], tblConversions[GHG Factor (t CO2e per Unit)], 0)</f>
        <v>0</v>
      </c>
      <c r="L100" s="67">
        <f t="shared" si="43"/>
        <v>120</v>
      </c>
      <c r="M100" s="67"/>
      <c r="N100" s="67"/>
      <c r="O100" s="67"/>
    </row>
    <row r="101" spans="1:15" ht="30" x14ac:dyDescent="0.25">
      <c r="B101" s="68" t="s">
        <v>428</v>
      </c>
      <c r="C101" s="67" t="str">
        <f>_xlfn.XLOOKUP(B101, tblConversions[Item], tblConversions[State], "" )</f>
        <v>Biodiversity</v>
      </c>
      <c r="D101" s="67" t="str">
        <f>_xlfn.XLOOKUP(B101, tblConversions[Item], tblConversions[Category], "")</f>
        <v>Sensitive Area</v>
      </c>
      <c r="E101" s="67" t="str">
        <f>_xlfn.XLOOKUP(B101, tblConversions[Item], tblConversions[Type], "")</f>
        <v>Water Usage</v>
      </c>
      <c r="F101" s="67" t="str">
        <f>_xlfn.XLOOKUP(B101, tblConversions[Item], tblConversions[Unit], "")</f>
        <v>m3</v>
      </c>
      <c r="G101" s="67">
        <v>0</v>
      </c>
      <c r="H101" s="67">
        <v>65</v>
      </c>
      <c r="I101" s="67">
        <f t="shared" si="42"/>
        <v>65</v>
      </c>
      <c r="J101" s="72">
        <f>_xlfn.XLOOKUP(B101, tblConversions[Item], tblConversions[Multiplier], 0)</f>
        <v>1</v>
      </c>
      <c r="K101" s="72">
        <f>_xlfn.XLOOKUP(B101, tblConversions[Item], tblConversions[GHG Factor (t CO2e per Unit)], 0)</f>
        <v>0</v>
      </c>
      <c r="L101" s="67">
        <f t="shared" si="43"/>
        <v>65</v>
      </c>
      <c r="M101" s="67"/>
      <c r="N101" s="67"/>
      <c r="O101" s="67"/>
    </row>
    <row r="102" spans="1:15" x14ac:dyDescent="0.25">
      <c r="B102" s="68" t="s">
        <v>429</v>
      </c>
      <c r="C102" s="67" t="str">
        <f>_xlfn.XLOOKUP(B102, tblConversions[Item], tblConversions[State], "" )</f>
        <v>Biodiversity</v>
      </c>
      <c r="D102" s="67" t="str">
        <f>_xlfn.XLOOKUP(B102, tblConversions[Item], tblConversions[Category], "")</f>
        <v>Sensitive Area</v>
      </c>
      <c r="E102" s="67" t="str">
        <f>_xlfn.XLOOKUP(B102, tblConversions[Item], tblConversions[Type], "")</f>
        <v>Water Usage</v>
      </c>
      <c r="F102" s="67" t="str">
        <f>_xlfn.XLOOKUP(B102, tblConversions[Item], tblConversions[Unit], "")</f>
        <v>m3</v>
      </c>
      <c r="G102" s="67">
        <v>0</v>
      </c>
      <c r="H102" s="67">
        <v>110</v>
      </c>
      <c r="I102" s="67">
        <f t="shared" si="42"/>
        <v>110</v>
      </c>
      <c r="J102" s="72">
        <f>_xlfn.XLOOKUP(B102, tblConversions[Item], tblConversions[Multiplier], 0)</f>
        <v>1</v>
      </c>
      <c r="K102" s="72">
        <f>_xlfn.XLOOKUP(B102, tblConversions[Item], tblConversions[GHG Factor (t CO2e per Unit)], 0)</f>
        <v>0</v>
      </c>
      <c r="L102" s="67">
        <f t="shared" si="43"/>
        <v>110</v>
      </c>
      <c r="M102" s="67"/>
      <c r="N102" s="67"/>
      <c r="O102" s="67"/>
    </row>
    <row r="103" spans="1:15" x14ac:dyDescent="0.25"/>
    <row r="104" spans="1:15" x14ac:dyDescent="0.25"/>
    <row r="105" spans="1:15" x14ac:dyDescent="0.25"/>
  </sheetData>
  <dataValidations count="1">
    <dataValidation type="list" allowBlank="1" showInputMessage="1" showErrorMessage="1" sqref="B11:B14 B30:B34 B44:B50 D27:E27 B52:B54 B59 B18:B27 B84:B89 B63:B73 B77:B81 B6:B9 B93:B96 B99:B102" xr:uid="{085D94A5-E411-4D46-9CAC-20A8DA66C4B6}">
      <formula1>FuelList</formula1>
    </dataValidation>
  </dataValidations>
  <pageMargins left="1.5354330708661419" right="1.0236220472440944" top="1.0236220472440944" bottom="1.0236220472440944" header="0.31496062992125984" footer="0.31496062992125984"/>
  <pageSetup paperSize="9" scale="2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7C7F-9881-413D-9443-03A3005DB63E}">
  <sheetPr codeName="Sheet9">
    <pageSetUpPr fitToPage="1"/>
  </sheetPr>
  <dimension ref="A1:XFC60"/>
  <sheetViews>
    <sheetView workbookViewId="0">
      <selection sqref="A1:G59"/>
    </sheetView>
  </sheetViews>
  <sheetFormatPr defaultColWidth="0" defaultRowHeight="15" zeroHeight="1" x14ac:dyDescent="0.3"/>
  <cols>
    <col min="1" max="1" width="38.88671875" style="97" customWidth="1"/>
    <col min="2" max="2" width="21.21875" style="97" customWidth="1"/>
    <col min="3" max="3" width="27.44140625" style="97" customWidth="1"/>
    <col min="4" max="4" width="10.21875" style="97" customWidth="1"/>
    <col min="5" max="5" width="19.88671875" style="97" customWidth="1"/>
    <col min="6" max="6" width="11.5546875" style="97" customWidth="1"/>
    <col min="7" max="7" width="17.6640625" style="97" customWidth="1"/>
    <col min="8" max="8" width="45.77734375" style="97" customWidth="1"/>
    <col min="9" max="9" width="23.21875" style="97" customWidth="1"/>
    <col min="10" max="16383" width="8.88671875" style="97" hidden="1"/>
    <col min="16384" max="16384" width="7.44140625" style="97" hidden="1" customWidth="1"/>
  </cols>
  <sheetData>
    <row r="1" spans="1:9" ht="30" x14ac:dyDescent="0.3">
      <c r="A1" s="97" t="s">
        <v>464</v>
      </c>
      <c r="B1" s="97" t="s">
        <v>80</v>
      </c>
      <c r="C1" s="97" t="s">
        <v>105</v>
      </c>
      <c r="D1" s="97" t="s">
        <v>10</v>
      </c>
      <c r="E1" s="97" t="s">
        <v>104</v>
      </c>
      <c r="F1" s="97" t="s">
        <v>118</v>
      </c>
      <c r="G1" s="97" t="s">
        <v>344</v>
      </c>
      <c r="H1" s="97" t="s">
        <v>111</v>
      </c>
      <c r="I1" s="97" t="s">
        <v>112</v>
      </c>
    </row>
    <row r="2" spans="1:9" ht="15.6" x14ac:dyDescent="0.3">
      <c r="A2" s="98" t="s">
        <v>150</v>
      </c>
      <c r="B2" s="97" t="s">
        <v>18</v>
      </c>
      <c r="C2" s="97" t="s">
        <v>9</v>
      </c>
      <c r="D2" s="97" t="s">
        <v>1</v>
      </c>
      <c r="E2" s="97" t="s">
        <v>158</v>
      </c>
      <c r="F2" s="97">
        <v>1</v>
      </c>
      <c r="G2" s="99">
        <v>0.81</v>
      </c>
      <c r="H2" s="97" t="s">
        <v>119</v>
      </c>
      <c r="I2" s="97" t="s">
        <v>11</v>
      </c>
    </row>
    <row r="3" spans="1:9" ht="15.6" x14ac:dyDescent="0.3">
      <c r="A3" s="98" t="s">
        <v>159</v>
      </c>
      <c r="B3" s="97" t="s">
        <v>18</v>
      </c>
      <c r="C3" s="97" t="s">
        <v>9</v>
      </c>
      <c r="D3" s="97" t="s">
        <v>160</v>
      </c>
      <c r="E3" s="97" t="s">
        <v>161</v>
      </c>
      <c r="F3" s="97">
        <v>1</v>
      </c>
      <c r="G3" s="99">
        <v>0</v>
      </c>
    </row>
    <row r="4" spans="1:9" ht="15.6" x14ac:dyDescent="0.3">
      <c r="A4" s="98" t="s">
        <v>162</v>
      </c>
      <c r="B4" s="97" t="s">
        <v>18</v>
      </c>
      <c r="C4" s="97" t="s">
        <v>9</v>
      </c>
      <c r="D4" s="97" t="s">
        <v>160</v>
      </c>
      <c r="E4" s="97" t="s">
        <v>161</v>
      </c>
      <c r="F4" s="97">
        <v>1</v>
      </c>
      <c r="G4" s="99">
        <v>0</v>
      </c>
    </row>
    <row r="5" spans="1:9" ht="15.6" x14ac:dyDescent="0.3">
      <c r="A5" s="98" t="s">
        <v>12</v>
      </c>
      <c r="B5" s="97" t="s">
        <v>81</v>
      </c>
      <c r="C5" s="97" t="s">
        <v>9</v>
      </c>
      <c r="D5" s="97" t="s">
        <v>13</v>
      </c>
      <c r="E5" s="97" t="s">
        <v>54</v>
      </c>
      <c r="F5" s="97">
        <v>9.7000000000000003E-3</v>
      </c>
      <c r="G5" s="99">
        <v>2.5179999999999998</v>
      </c>
      <c r="H5" s="97" t="s">
        <v>119</v>
      </c>
      <c r="I5" s="97" t="s">
        <v>463</v>
      </c>
    </row>
    <row r="6" spans="1:9" ht="15.6" x14ac:dyDescent="0.3">
      <c r="A6" s="98" t="s">
        <v>15</v>
      </c>
      <c r="B6" s="97" t="s">
        <v>81</v>
      </c>
      <c r="C6" s="97" t="s">
        <v>9</v>
      </c>
      <c r="D6" s="97" t="s">
        <v>13</v>
      </c>
      <c r="E6" s="97" t="s">
        <v>54</v>
      </c>
      <c r="F6" s="97">
        <v>1.06E-2</v>
      </c>
      <c r="G6" s="99">
        <v>2.6615500000000001</v>
      </c>
      <c r="H6" s="97" t="s">
        <v>119</v>
      </c>
      <c r="I6" s="97" t="s">
        <v>14</v>
      </c>
    </row>
    <row r="7" spans="1:9" ht="15.6" x14ac:dyDescent="0.3">
      <c r="A7" s="98" t="s">
        <v>16</v>
      </c>
      <c r="B7" s="97" t="s">
        <v>81</v>
      </c>
      <c r="C7" s="97" t="s">
        <v>9</v>
      </c>
      <c r="D7" s="97" t="s">
        <v>6</v>
      </c>
      <c r="E7" s="97" t="s">
        <v>54</v>
      </c>
      <c r="F7" s="97">
        <v>1.37E-2</v>
      </c>
      <c r="G7" s="99">
        <v>2.9393600000000002</v>
      </c>
      <c r="H7" s="97" t="s">
        <v>119</v>
      </c>
      <c r="I7" s="97" t="s">
        <v>14</v>
      </c>
    </row>
    <row r="8" spans="1:9" ht="15.6" x14ac:dyDescent="0.3">
      <c r="A8" s="98" t="s">
        <v>17</v>
      </c>
      <c r="B8" s="97" t="s">
        <v>82</v>
      </c>
      <c r="C8" s="97" t="s">
        <v>9</v>
      </c>
      <c r="D8" s="97" t="s">
        <v>3</v>
      </c>
      <c r="E8" s="97" t="s">
        <v>54</v>
      </c>
      <c r="F8" s="97">
        <v>1.0800000000000001E-2</v>
      </c>
      <c r="G8" s="99">
        <v>2.04542</v>
      </c>
      <c r="H8" s="97" t="s">
        <v>119</v>
      </c>
      <c r="I8" s="97" t="s">
        <v>14</v>
      </c>
    </row>
    <row r="9" spans="1:9" ht="15.6" x14ac:dyDescent="0.3">
      <c r="A9" s="98" t="s">
        <v>136</v>
      </c>
      <c r="B9" s="97" t="s">
        <v>18</v>
      </c>
      <c r="C9" s="97" t="s">
        <v>8</v>
      </c>
      <c r="D9" s="97" t="s">
        <v>1</v>
      </c>
      <c r="E9" s="97" t="s">
        <v>54</v>
      </c>
      <c r="F9" s="97">
        <v>1</v>
      </c>
      <c r="G9" s="99">
        <v>0</v>
      </c>
      <c r="H9" s="97" t="s">
        <v>119</v>
      </c>
    </row>
    <row r="10" spans="1:9" ht="15.6" x14ac:dyDescent="0.3">
      <c r="A10" s="98" t="s">
        <v>151</v>
      </c>
      <c r="B10" s="97" t="s">
        <v>18</v>
      </c>
      <c r="C10" s="97" t="s">
        <v>8</v>
      </c>
      <c r="D10" s="97" t="s">
        <v>1</v>
      </c>
      <c r="E10" s="97" t="s">
        <v>54</v>
      </c>
      <c r="F10" s="97">
        <v>1</v>
      </c>
      <c r="G10" s="99">
        <v>0</v>
      </c>
      <c r="H10" s="97" t="s">
        <v>119</v>
      </c>
    </row>
    <row r="11" spans="1:9" x14ac:dyDescent="0.3">
      <c r="A11" s="98" t="s">
        <v>343</v>
      </c>
      <c r="B11" s="97" t="s">
        <v>81</v>
      </c>
      <c r="C11" s="97" t="s">
        <v>173</v>
      </c>
      <c r="D11" s="97" t="s">
        <v>6</v>
      </c>
      <c r="E11" s="97" t="s">
        <v>54</v>
      </c>
      <c r="F11" s="97">
        <v>0</v>
      </c>
      <c r="G11" s="97">
        <v>675</v>
      </c>
      <c r="H11" s="97" t="s">
        <v>120</v>
      </c>
      <c r="I11" s="97" t="s">
        <v>462</v>
      </c>
    </row>
    <row r="12" spans="1:9" x14ac:dyDescent="0.3">
      <c r="A12" s="98" t="s">
        <v>133</v>
      </c>
      <c r="B12" s="97" t="s">
        <v>55</v>
      </c>
      <c r="C12" s="97" t="s">
        <v>133</v>
      </c>
      <c r="D12" s="97" t="s">
        <v>134</v>
      </c>
      <c r="E12" s="97" t="s">
        <v>61</v>
      </c>
      <c r="F12" s="97">
        <v>0</v>
      </c>
      <c r="G12" s="97">
        <v>0.45</v>
      </c>
      <c r="H12" s="97" t="s">
        <v>53</v>
      </c>
    </row>
    <row r="13" spans="1:9" ht="30" x14ac:dyDescent="0.3">
      <c r="A13" s="98" t="s">
        <v>139</v>
      </c>
      <c r="B13" s="97" t="s">
        <v>55</v>
      </c>
      <c r="C13" s="97" t="s">
        <v>135</v>
      </c>
      <c r="D13" s="97" t="s">
        <v>134</v>
      </c>
      <c r="E13" s="97" t="s">
        <v>61</v>
      </c>
      <c r="F13" s="97">
        <v>0</v>
      </c>
      <c r="G13" s="99">
        <v>1.9836</v>
      </c>
      <c r="H13" s="97" t="s">
        <v>142</v>
      </c>
    </row>
    <row r="14" spans="1:9" ht="30" x14ac:dyDescent="0.3">
      <c r="A14" s="98" t="s">
        <v>138</v>
      </c>
      <c r="B14" s="97" t="s">
        <v>55</v>
      </c>
      <c r="C14" s="97" t="s">
        <v>135</v>
      </c>
      <c r="D14" s="97" t="s">
        <v>134</v>
      </c>
      <c r="E14" s="97" t="s">
        <v>61</v>
      </c>
      <c r="F14" s="97">
        <v>0</v>
      </c>
      <c r="G14" s="97">
        <v>0.15</v>
      </c>
      <c r="H14" s="97" t="s">
        <v>141</v>
      </c>
    </row>
    <row r="15" spans="1:9" ht="30" x14ac:dyDescent="0.3">
      <c r="A15" s="98" t="s">
        <v>137</v>
      </c>
      <c r="B15" s="97" t="s">
        <v>55</v>
      </c>
      <c r="C15" s="97" t="s">
        <v>135</v>
      </c>
      <c r="D15" s="97" t="s">
        <v>134</v>
      </c>
      <c r="E15" s="97" t="s">
        <v>61</v>
      </c>
      <c r="F15" s="97">
        <v>0</v>
      </c>
      <c r="G15" s="97">
        <v>0.05</v>
      </c>
      <c r="H15" s="97" t="s">
        <v>143</v>
      </c>
    </row>
    <row r="16" spans="1:9" ht="30" x14ac:dyDescent="0.3">
      <c r="A16" s="98" t="s">
        <v>412</v>
      </c>
      <c r="B16" s="97" t="s">
        <v>55</v>
      </c>
      <c r="C16" s="97" t="s">
        <v>152</v>
      </c>
      <c r="D16" s="97" t="s">
        <v>134</v>
      </c>
      <c r="E16" s="97" t="s">
        <v>61</v>
      </c>
      <c r="F16" s="97">
        <v>0</v>
      </c>
      <c r="G16" s="97">
        <v>0.15</v>
      </c>
      <c r="H16" s="97" t="s">
        <v>145</v>
      </c>
    </row>
    <row r="17" spans="1:8" ht="75" x14ac:dyDescent="0.3">
      <c r="A17" s="98" t="s">
        <v>147</v>
      </c>
      <c r="B17" s="97" t="s">
        <v>55</v>
      </c>
      <c r="C17" s="97" t="s">
        <v>152</v>
      </c>
      <c r="D17" s="97" t="s">
        <v>134</v>
      </c>
      <c r="E17" s="97" t="s">
        <v>61</v>
      </c>
      <c r="F17" s="97">
        <v>0</v>
      </c>
      <c r="G17" s="99">
        <v>1.9836</v>
      </c>
      <c r="H17" s="97" t="s">
        <v>144</v>
      </c>
    </row>
    <row r="18" spans="1:8" ht="75" x14ac:dyDescent="0.3">
      <c r="A18" s="98" t="s">
        <v>146</v>
      </c>
      <c r="B18" s="97" t="s">
        <v>55</v>
      </c>
      <c r="C18" s="97" t="s">
        <v>152</v>
      </c>
      <c r="D18" s="97" t="s">
        <v>134</v>
      </c>
      <c r="E18" s="97" t="s">
        <v>61</v>
      </c>
      <c r="F18" s="97">
        <v>1</v>
      </c>
      <c r="G18" s="99">
        <v>0.74095319861999998</v>
      </c>
      <c r="H18" s="97" t="s">
        <v>149</v>
      </c>
    </row>
    <row r="19" spans="1:8" ht="30" x14ac:dyDescent="0.3">
      <c r="A19" s="98" t="s">
        <v>62</v>
      </c>
      <c r="B19" s="97" t="s">
        <v>55</v>
      </c>
      <c r="C19" s="97" t="s">
        <v>140</v>
      </c>
      <c r="D19" s="97" t="s">
        <v>57</v>
      </c>
      <c r="E19" s="97" t="s">
        <v>63</v>
      </c>
      <c r="F19" s="97">
        <v>0</v>
      </c>
      <c r="G19" s="100">
        <v>-1000</v>
      </c>
      <c r="H19" s="97" t="s">
        <v>122</v>
      </c>
    </row>
    <row r="20" spans="1:8" ht="60" x14ac:dyDescent="0.3">
      <c r="A20" s="98" t="s">
        <v>130</v>
      </c>
      <c r="B20" s="97" t="s">
        <v>82</v>
      </c>
      <c r="C20" s="97" t="s">
        <v>351</v>
      </c>
      <c r="D20" s="97" t="s">
        <v>6</v>
      </c>
      <c r="E20" s="97" t="s">
        <v>106</v>
      </c>
      <c r="F20" s="97">
        <v>1</v>
      </c>
      <c r="G20" s="99">
        <v>0</v>
      </c>
      <c r="H20" s="97" t="s">
        <v>121</v>
      </c>
    </row>
    <row r="21" spans="1:8" ht="60" x14ac:dyDescent="0.3">
      <c r="A21" s="98" t="s">
        <v>131</v>
      </c>
      <c r="B21" s="97" t="s">
        <v>82</v>
      </c>
      <c r="C21" s="97" t="s">
        <v>352</v>
      </c>
      <c r="D21" s="97" t="s">
        <v>6</v>
      </c>
      <c r="E21" s="97" t="s">
        <v>106</v>
      </c>
      <c r="F21" s="97">
        <v>1</v>
      </c>
      <c r="G21" s="99">
        <v>0</v>
      </c>
      <c r="H21" s="97" t="s">
        <v>121</v>
      </c>
    </row>
    <row r="22" spans="1:8" ht="60" x14ac:dyDescent="0.3">
      <c r="A22" s="98" t="s">
        <v>174</v>
      </c>
      <c r="B22" s="97" t="s">
        <v>132</v>
      </c>
      <c r="C22" s="97" t="s">
        <v>350</v>
      </c>
      <c r="D22" s="97" t="s">
        <v>6</v>
      </c>
      <c r="E22" s="97" t="s">
        <v>106</v>
      </c>
      <c r="F22" s="97">
        <v>1</v>
      </c>
      <c r="G22" s="99">
        <v>0</v>
      </c>
      <c r="H22" s="97" t="s">
        <v>121</v>
      </c>
    </row>
    <row r="23" spans="1:8" ht="30" x14ac:dyDescent="0.3">
      <c r="A23" s="98" t="s">
        <v>353</v>
      </c>
      <c r="B23" s="97" t="s">
        <v>81</v>
      </c>
      <c r="C23" s="97" t="s">
        <v>77</v>
      </c>
      <c r="D23" s="97" t="s">
        <v>6</v>
      </c>
      <c r="E23" s="97" t="s">
        <v>115</v>
      </c>
      <c r="F23" s="97">
        <v>1</v>
      </c>
      <c r="G23" s="99">
        <v>0</v>
      </c>
      <c r="H23" s="97" t="s">
        <v>116</v>
      </c>
    </row>
    <row r="24" spans="1:8" ht="30" x14ac:dyDescent="0.3">
      <c r="A24" s="98" t="s">
        <v>181</v>
      </c>
      <c r="B24" s="97" t="s">
        <v>81</v>
      </c>
      <c r="C24" s="97" t="s">
        <v>2</v>
      </c>
      <c r="D24" s="97" t="s">
        <v>160</v>
      </c>
      <c r="E24" s="97" t="s">
        <v>78</v>
      </c>
      <c r="F24" s="97">
        <v>1</v>
      </c>
      <c r="G24" s="99">
        <v>0</v>
      </c>
      <c r="H24" s="97" t="s">
        <v>175</v>
      </c>
    </row>
    <row r="25" spans="1:8" ht="30" x14ac:dyDescent="0.3">
      <c r="A25" s="98" t="s">
        <v>179</v>
      </c>
      <c r="B25" s="97" t="s">
        <v>81</v>
      </c>
      <c r="C25" s="97" t="s">
        <v>2</v>
      </c>
      <c r="D25" s="97" t="s">
        <v>160</v>
      </c>
      <c r="E25" s="97" t="s">
        <v>78</v>
      </c>
      <c r="F25" s="97">
        <v>1</v>
      </c>
      <c r="G25" s="99">
        <v>0</v>
      </c>
      <c r="H25" s="97" t="s">
        <v>175</v>
      </c>
    </row>
    <row r="26" spans="1:8" ht="30" x14ac:dyDescent="0.3">
      <c r="A26" s="98" t="s">
        <v>76</v>
      </c>
      <c r="B26" s="97" t="s">
        <v>81</v>
      </c>
      <c r="C26" s="97" t="s">
        <v>2</v>
      </c>
      <c r="D26" s="97" t="s">
        <v>160</v>
      </c>
      <c r="E26" s="97" t="s">
        <v>78</v>
      </c>
      <c r="F26" s="97">
        <v>1</v>
      </c>
      <c r="G26" s="99">
        <v>0</v>
      </c>
      <c r="H26" s="97" t="s">
        <v>175</v>
      </c>
    </row>
    <row r="27" spans="1:8" ht="45" x14ac:dyDescent="0.3">
      <c r="A27" s="98" t="s">
        <v>201</v>
      </c>
      <c r="B27" s="97" t="s">
        <v>55</v>
      </c>
      <c r="C27" s="97" t="s">
        <v>200</v>
      </c>
      <c r="D27" s="97" t="s">
        <v>199</v>
      </c>
      <c r="E27" s="97" t="s">
        <v>202</v>
      </c>
      <c r="F27" s="97">
        <v>1</v>
      </c>
      <c r="G27" s="99">
        <v>0</v>
      </c>
    </row>
    <row r="28" spans="1:8" ht="30" x14ac:dyDescent="0.3">
      <c r="A28" s="98" t="s">
        <v>432</v>
      </c>
      <c r="B28" s="97" t="s">
        <v>81</v>
      </c>
      <c r="C28" s="97" t="s">
        <v>2</v>
      </c>
      <c r="D28" s="97" t="s">
        <v>160</v>
      </c>
      <c r="E28" s="97" t="s">
        <v>78</v>
      </c>
      <c r="F28" s="97">
        <v>1</v>
      </c>
      <c r="G28" s="99">
        <v>0</v>
      </c>
      <c r="H28" s="97" t="s">
        <v>175</v>
      </c>
    </row>
    <row r="29" spans="1:8" ht="30" x14ac:dyDescent="0.3">
      <c r="A29" s="98" t="s">
        <v>77</v>
      </c>
      <c r="B29" s="97" t="s">
        <v>81</v>
      </c>
      <c r="C29" s="97" t="s">
        <v>77</v>
      </c>
      <c r="D29" s="97" t="s">
        <v>160</v>
      </c>
      <c r="E29" s="97" t="s">
        <v>79</v>
      </c>
      <c r="F29" s="97">
        <v>1</v>
      </c>
      <c r="G29" s="99">
        <v>0</v>
      </c>
      <c r="H29" s="97" t="s">
        <v>175</v>
      </c>
    </row>
    <row r="30" spans="1:8" ht="30" x14ac:dyDescent="0.3">
      <c r="A30" s="98" t="s">
        <v>180</v>
      </c>
      <c r="B30" s="97" t="s">
        <v>81</v>
      </c>
      <c r="C30" s="97" t="s">
        <v>77</v>
      </c>
      <c r="D30" s="97" t="s">
        <v>160</v>
      </c>
      <c r="E30" s="97" t="s">
        <v>79</v>
      </c>
      <c r="F30" s="97">
        <v>1</v>
      </c>
      <c r="G30" s="99">
        <v>0</v>
      </c>
      <c r="H30" s="97" t="s">
        <v>175</v>
      </c>
    </row>
    <row r="31" spans="1:8" x14ac:dyDescent="0.3">
      <c r="A31" s="98" t="s">
        <v>406</v>
      </c>
      <c r="B31" s="97" t="s">
        <v>281</v>
      </c>
      <c r="C31" s="97" t="s">
        <v>228</v>
      </c>
      <c r="D31" s="97" t="s">
        <v>244</v>
      </c>
      <c r="E31" s="97" t="s">
        <v>115</v>
      </c>
      <c r="F31" s="97">
        <v>1</v>
      </c>
      <c r="G31" s="97">
        <v>0</v>
      </c>
      <c r="H31" s="97" t="s">
        <v>254</v>
      </c>
    </row>
    <row r="32" spans="1:8" x14ac:dyDescent="0.3">
      <c r="A32" s="98" t="s">
        <v>245</v>
      </c>
      <c r="B32" s="97" t="s">
        <v>281</v>
      </c>
      <c r="C32" s="97" t="s">
        <v>229</v>
      </c>
      <c r="D32" s="97" t="s">
        <v>244</v>
      </c>
      <c r="E32" s="97" t="s">
        <v>252</v>
      </c>
      <c r="F32" s="97">
        <v>1</v>
      </c>
      <c r="G32" s="97">
        <v>2.1000000000000001E-2</v>
      </c>
    </row>
    <row r="33" spans="1:8" ht="30" x14ac:dyDescent="0.3">
      <c r="A33" s="98" t="s">
        <v>408</v>
      </c>
      <c r="B33" s="97" t="s">
        <v>281</v>
      </c>
      <c r="C33" s="97" t="s">
        <v>229</v>
      </c>
      <c r="D33" s="97" t="s">
        <v>244</v>
      </c>
      <c r="E33" s="97" t="s">
        <v>250</v>
      </c>
      <c r="F33" s="97">
        <v>1</v>
      </c>
      <c r="G33" s="97">
        <v>1.2</v>
      </c>
      <c r="H33" s="97" t="s">
        <v>461</v>
      </c>
    </row>
    <row r="34" spans="1:8" x14ac:dyDescent="0.3">
      <c r="A34" s="98" t="s">
        <v>409</v>
      </c>
      <c r="B34" s="97" t="s">
        <v>281</v>
      </c>
      <c r="C34" s="97" t="s">
        <v>229</v>
      </c>
      <c r="D34" s="97" t="s">
        <v>244</v>
      </c>
      <c r="E34" s="97" t="s">
        <v>250</v>
      </c>
      <c r="F34" s="97">
        <v>1</v>
      </c>
      <c r="G34" s="97">
        <v>1.2</v>
      </c>
      <c r="H34" s="97" t="s">
        <v>460</v>
      </c>
    </row>
    <row r="35" spans="1:8" x14ac:dyDescent="0.3">
      <c r="A35" s="98" t="s">
        <v>410</v>
      </c>
      <c r="B35" s="97" t="s">
        <v>281</v>
      </c>
      <c r="C35" s="97" t="s">
        <v>228</v>
      </c>
      <c r="D35" s="97" t="s">
        <v>244</v>
      </c>
      <c r="E35" s="97" t="s">
        <v>251</v>
      </c>
      <c r="F35" s="97">
        <v>1</v>
      </c>
      <c r="G35" s="97">
        <v>1.2</v>
      </c>
    </row>
    <row r="36" spans="1:8" ht="30" x14ac:dyDescent="0.3">
      <c r="A36" s="98" t="s">
        <v>247</v>
      </c>
      <c r="B36" s="97" t="s">
        <v>281</v>
      </c>
      <c r="C36" s="97" t="s">
        <v>229</v>
      </c>
      <c r="D36" s="97" t="s">
        <v>244</v>
      </c>
      <c r="E36" s="97" t="s">
        <v>250</v>
      </c>
      <c r="F36" s="97">
        <v>1</v>
      </c>
      <c r="G36" s="97">
        <v>1.2</v>
      </c>
    </row>
    <row r="37" spans="1:8" ht="30" x14ac:dyDescent="0.3">
      <c r="A37" s="98" t="s">
        <v>241</v>
      </c>
      <c r="B37" s="97" t="s">
        <v>281</v>
      </c>
      <c r="C37" s="97" t="s">
        <v>228</v>
      </c>
      <c r="D37" s="97" t="s">
        <v>244</v>
      </c>
      <c r="E37" s="97" t="s">
        <v>251</v>
      </c>
      <c r="F37" s="97">
        <v>1</v>
      </c>
      <c r="G37" s="97">
        <v>1.2</v>
      </c>
    </row>
    <row r="38" spans="1:8" ht="30" x14ac:dyDescent="0.3">
      <c r="A38" s="98" t="s">
        <v>411</v>
      </c>
      <c r="B38" s="97" t="s">
        <v>281</v>
      </c>
      <c r="C38" s="97" t="s">
        <v>229</v>
      </c>
      <c r="D38" s="97" t="s">
        <v>244</v>
      </c>
      <c r="E38" s="97" t="s">
        <v>250</v>
      </c>
      <c r="F38" s="97">
        <v>1</v>
      </c>
      <c r="G38" s="97">
        <v>1.2</v>
      </c>
    </row>
    <row r="39" spans="1:8" ht="30" x14ac:dyDescent="0.3">
      <c r="A39" s="98" t="s">
        <v>397</v>
      </c>
      <c r="B39" s="97" t="s">
        <v>281</v>
      </c>
      <c r="C39" s="97" t="s">
        <v>228</v>
      </c>
      <c r="D39" s="97" t="s">
        <v>244</v>
      </c>
      <c r="E39" s="97" t="s">
        <v>251</v>
      </c>
      <c r="F39" s="97">
        <v>1</v>
      </c>
      <c r="G39" s="97">
        <v>1.2</v>
      </c>
    </row>
    <row r="40" spans="1:8" ht="30" x14ac:dyDescent="0.3">
      <c r="A40" s="98" t="s">
        <v>398</v>
      </c>
      <c r="B40" s="97" t="s">
        <v>281</v>
      </c>
      <c r="C40" s="97" t="s">
        <v>229</v>
      </c>
      <c r="D40" s="97" t="s">
        <v>244</v>
      </c>
      <c r="E40" s="97" t="s">
        <v>250</v>
      </c>
      <c r="F40" s="97">
        <v>1</v>
      </c>
      <c r="G40" s="97">
        <v>1.2</v>
      </c>
    </row>
    <row r="41" spans="1:8" x14ac:dyDescent="0.3">
      <c r="A41" s="98" t="s">
        <v>240</v>
      </c>
      <c r="B41" s="97" t="s">
        <v>281</v>
      </c>
      <c r="C41" s="97" t="s">
        <v>229</v>
      </c>
      <c r="D41" s="97" t="s">
        <v>244</v>
      </c>
      <c r="E41" s="97" t="s">
        <v>252</v>
      </c>
      <c r="F41" s="97">
        <v>1</v>
      </c>
      <c r="G41" s="97">
        <v>1.2</v>
      </c>
    </row>
    <row r="42" spans="1:8" x14ac:dyDescent="0.3">
      <c r="A42" s="98" t="s">
        <v>242</v>
      </c>
      <c r="B42" s="97" t="s">
        <v>281</v>
      </c>
      <c r="C42" s="97" t="s">
        <v>229</v>
      </c>
      <c r="D42" s="97" t="s">
        <v>244</v>
      </c>
      <c r="E42" s="97" t="s">
        <v>253</v>
      </c>
      <c r="F42" s="97">
        <v>1</v>
      </c>
      <c r="G42" s="97">
        <v>1.2</v>
      </c>
    </row>
    <row r="43" spans="1:8" x14ac:dyDescent="0.3">
      <c r="A43" s="98" t="s">
        <v>243</v>
      </c>
      <c r="B43" s="97" t="s">
        <v>281</v>
      </c>
      <c r="C43" s="97" t="s">
        <v>229</v>
      </c>
      <c r="D43" s="97" t="s">
        <v>244</v>
      </c>
      <c r="E43" s="97" t="s">
        <v>253</v>
      </c>
      <c r="F43" s="97">
        <v>1</v>
      </c>
      <c r="G43" s="97">
        <v>1.2</v>
      </c>
    </row>
    <row r="44" spans="1:8" ht="15.6" x14ac:dyDescent="0.3">
      <c r="A44" s="98" t="s">
        <v>374</v>
      </c>
      <c r="B44" s="97" t="s">
        <v>281</v>
      </c>
      <c r="C44" s="97" t="s">
        <v>229</v>
      </c>
      <c r="D44" s="97" t="s">
        <v>244</v>
      </c>
      <c r="E44" s="97" t="s">
        <v>252</v>
      </c>
      <c r="F44" s="97">
        <v>1</v>
      </c>
      <c r="G44" s="99">
        <v>1.2</v>
      </c>
    </row>
    <row r="45" spans="1:8" x14ac:dyDescent="0.3">
      <c r="A45" s="98" t="s">
        <v>413</v>
      </c>
      <c r="B45" s="97" t="s">
        <v>281</v>
      </c>
      <c r="C45" s="97" t="s">
        <v>229</v>
      </c>
      <c r="D45" s="97" t="s">
        <v>4</v>
      </c>
      <c r="E45" s="97" t="s">
        <v>253</v>
      </c>
      <c r="F45" s="97">
        <v>1</v>
      </c>
      <c r="G45" s="97">
        <v>0</v>
      </c>
    </row>
    <row r="46" spans="1:8" ht="15.6" x14ac:dyDescent="0.3">
      <c r="A46" s="98" t="s">
        <v>280</v>
      </c>
      <c r="B46" s="97" t="s">
        <v>281</v>
      </c>
      <c r="C46" s="97" t="s">
        <v>279</v>
      </c>
      <c r="D46" s="97" t="s">
        <v>4</v>
      </c>
      <c r="E46" s="97" t="s">
        <v>317</v>
      </c>
      <c r="F46" s="97">
        <v>1</v>
      </c>
      <c r="G46" s="99">
        <v>0</v>
      </c>
    </row>
    <row r="47" spans="1:8" x14ac:dyDescent="0.3">
      <c r="A47" s="98" t="s">
        <v>284</v>
      </c>
      <c r="B47" s="97" t="s">
        <v>281</v>
      </c>
      <c r="C47" s="97" t="s">
        <v>279</v>
      </c>
      <c r="D47" s="97" t="s">
        <v>4</v>
      </c>
      <c r="E47" s="97" t="s">
        <v>253</v>
      </c>
      <c r="F47" s="97">
        <v>1</v>
      </c>
      <c r="G47" s="97">
        <v>0</v>
      </c>
    </row>
    <row r="48" spans="1:8" ht="30" x14ac:dyDescent="0.3">
      <c r="A48" s="98" t="s">
        <v>285</v>
      </c>
      <c r="B48" s="97" t="s">
        <v>281</v>
      </c>
      <c r="C48" s="97" t="s">
        <v>279</v>
      </c>
      <c r="D48" s="97" t="s">
        <v>4</v>
      </c>
      <c r="E48" s="97" t="s">
        <v>253</v>
      </c>
      <c r="F48" s="97">
        <v>1</v>
      </c>
      <c r="G48" s="99">
        <v>0</v>
      </c>
    </row>
    <row r="49" spans="1:7" ht="30" x14ac:dyDescent="0.3">
      <c r="A49" s="98" t="s">
        <v>319</v>
      </c>
      <c r="B49" s="97" t="s">
        <v>281</v>
      </c>
      <c r="C49" s="97" t="s">
        <v>321</v>
      </c>
      <c r="D49" s="97" t="s">
        <v>4</v>
      </c>
      <c r="E49" s="97" t="s">
        <v>322</v>
      </c>
      <c r="F49" s="97">
        <v>1</v>
      </c>
      <c r="G49" s="99">
        <v>0</v>
      </c>
    </row>
    <row r="50" spans="1:7" ht="15.6" x14ac:dyDescent="0.3">
      <c r="A50" s="98" t="s">
        <v>320</v>
      </c>
      <c r="B50" s="97" t="s">
        <v>281</v>
      </c>
      <c r="C50" s="97" t="s">
        <v>321</v>
      </c>
      <c r="D50" s="97" t="s">
        <v>4</v>
      </c>
      <c r="E50" s="97" t="s">
        <v>322</v>
      </c>
      <c r="F50" s="97">
        <v>1</v>
      </c>
      <c r="G50" s="99">
        <v>0</v>
      </c>
    </row>
    <row r="51" spans="1:7" x14ac:dyDescent="0.3">
      <c r="A51" s="98" t="s">
        <v>300</v>
      </c>
      <c r="B51" s="97" t="s">
        <v>301</v>
      </c>
      <c r="C51" s="97" t="s">
        <v>298</v>
      </c>
      <c r="D51" s="97" t="s">
        <v>299</v>
      </c>
      <c r="E51" s="97" t="s">
        <v>313</v>
      </c>
      <c r="F51" s="97">
        <v>1</v>
      </c>
      <c r="G51" s="97">
        <v>0</v>
      </c>
    </row>
    <row r="52" spans="1:7" ht="15.6" x14ac:dyDescent="0.3">
      <c r="A52" s="98" t="s">
        <v>302</v>
      </c>
      <c r="B52" s="97" t="s">
        <v>301</v>
      </c>
      <c r="C52" s="97" t="s">
        <v>298</v>
      </c>
      <c r="D52" s="97" t="s">
        <v>299</v>
      </c>
      <c r="E52" s="97" t="s">
        <v>172</v>
      </c>
      <c r="F52" s="97">
        <v>1</v>
      </c>
      <c r="G52" s="99">
        <v>0</v>
      </c>
    </row>
    <row r="53" spans="1:7" ht="15.6" x14ac:dyDescent="0.3">
      <c r="A53" s="98" t="s">
        <v>303</v>
      </c>
      <c r="B53" s="97" t="s">
        <v>301</v>
      </c>
      <c r="C53" s="97" t="s">
        <v>298</v>
      </c>
      <c r="D53" s="97" t="s">
        <v>299</v>
      </c>
      <c r="E53" s="97" t="s">
        <v>172</v>
      </c>
      <c r="F53" s="97">
        <v>1</v>
      </c>
      <c r="G53" s="99">
        <v>0</v>
      </c>
    </row>
    <row r="54" spans="1:7" ht="15.6" x14ac:dyDescent="0.3">
      <c r="A54" s="98" t="s">
        <v>431</v>
      </c>
      <c r="B54" s="97" t="s">
        <v>301</v>
      </c>
      <c r="C54" s="97" t="s">
        <v>5</v>
      </c>
      <c r="D54" s="97" t="s">
        <v>160</v>
      </c>
      <c r="E54" s="97" t="s">
        <v>172</v>
      </c>
      <c r="F54" s="97">
        <v>1</v>
      </c>
      <c r="G54" s="99">
        <v>0</v>
      </c>
    </row>
    <row r="55" spans="1:7" ht="30" x14ac:dyDescent="0.3">
      <c r="A55" s="98" t="s">
        <v>423</v>
      </c>
      <c r="B55" s="97" t="s">
        <v>301</v>
      </c>
      <c r="C55" s="97" t="s">
        <v>5</v>
      </c>
      <c r="D55" s="97" t="s">
        <v>424</v>
      </c>
      <c r="E55" s="97" t="s">
        <v>172</v>
      </c>
      <c r="F55" s="97">
        <v>1</v>
      </c>
      <c r="G55" s="99">
        <v>0</v>
      </c>
    </row>
    <row r="56" spans="1:7" ht="30" x14ac:dyDescent="0.3">
      <c r="A56" s="98" t="s">
        <v>425</v>
      </c>
      <c r="B56" s="97" t="s">
        <v>5</v>
      </c>
      <c r="C56" s="97" t="s">
        <v>426</v>
      </c>
      <c r="D56" s="97" t="s">
        <v>4</v>
      </c>
      <c r="E56" s="97" t="s">
        <v>172</v>
      </c>
      <c r="F56" s="97">
        <v>1</v>
      </c>
      <c r="G56" s="99">
        <v>0</v>
      </c>
    </row>
    <row r="57" spans="1:7" ht="30" x14ac:dyDescent="0.3">
      <c r="A57" s="98" t="s">
        <v>427</v>
      </c>
      <c r="B57" s="97" t="s">
        <v>5</v>
      </c>
      <c r="C57" s="97" t="s">
        <v>430</v>
      </c>
      <c r="D57" s="97" t="s">
        <v>160</v>
      </c>
      <c r="E57" s="97" t="s">
        <v>172</v>
      </c>
      <c r="F57" s="97">
        <v>1</v>
      </c>
      <c r="G57" s="99">
        <v>0</v>
      </c>
    </row>
    <row r="58" spans="1:7" ht="30" x14ac:dyDescent="0.3">
      <c r="A58" s="98" t="s">
        <v>428</v>
      </c>
      <c r="B58" s="97" t="s">
        <v>5</v>
      </c>
      <c r="C58" s="97" t="s">
        <v>430</v>
      </c>
      <c r="D58" s="97" t="s">
        <v>160</v>
      </c>
      <c r="E58" s="97" t="s">
        <v>172</v>
      </c>
      <c r="F58" s="97">
        <v>1</v>
      </c>
      <c r="G58" s="99">
        <v>0</v>
      </c>
    </row>
    <row r="59" spans="1:7" ht="30" x14ac:dyDescent="0.3">
      <c r="A59" s="98" t="s">
        <v>429</v>
      </c>
      <c r="B59" s="97" t="s">
        <v>5</v>
      </c>
      <c r="C59" s="97" t="s">
        <v>430</v>
      </c>
      <c r="D59" s="97" t="s">
        <v>160</v>
      </c>
      <c r="E59" s="97" t="s">
        <v>172</v>
      </c>
      <c r="F59" s="97">
        <v>1</v>
      </c>
      <c r="G59" s="99">
        <v>0</v>
      </c>
    </row>
    <row r="60" spans="1:7" x14ac:dyDescent="0.3"/>
  </sheetData>
  <pageMargins left="0.39370078740157483" right="0.39370078740157483" top="0.39370078740157483" bottom="0.39370078740157483" header="0.31496062992125984" footer="0.31496062992125984"/>
  <pageSetup paperSize="9" scale="44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E790-051C-44EB-A09E-5C549FBF75A6}">
  <sheetPr codeName="Sheet10">
    <pageSetUpPr fitToPage="1"/>
  </sheetPr>
  <dimension ref="A1:G11"/>
  <sheetViews>
    <sheetView workbookViewId="0">
      <selection activeCell="A12" sqref="A12:XFD1048576"/>
    </sheetView>
  </sheetViews>
  <sheetFormatPr defaultColWidth="0" defaultRowHeight="14.4" zeroHeight="1" x14ac:dyDescent="0.3"/>
  <cols>
    <col min="1" max="1" width="8.88671875" customWidth="1"/>
    <col min="2" max="2" width="29" customWidth="1"/>
    <col min="3" max="3" width="14" customWidth="1"/>
    <col min="4" max="4" width="28.33203125" customWidth="1"/>
    <col min="5" max="5" width="17" customWidth="1"/>
    <col min="6" max="6" width="17.77734375" customWidth="1"/>
    <col min="7" max="7" width="8.88671875" customWidth="1"/>
    <col min="8" max="16384" width="8.88671875" hidden="1"/>
  </cols>
  <sheetData>
    <row r="1" spans="2:6" x14ac:dyDescent="0.3">
      <c r="B1" t="s">
        <v>372</v>
      </c>
      <c r="C1" t="s">
        <v>212</v>
      </c>
      <c r="D1" t="s">
        <v>414</v>
      </c>
      <c r="E1" t="s">
        <v>416</v>
      </c>
      <c r="F1" t="s">
        <v>415</v>
      </c>
    </row>
    <row r="2" spans="2:6" ht="16.2" x14ac:dyDescent="0.3">
      <c r="B2" t="s">
        <v>357</v>
      </c>
      <c r="C2" t="s">
        <v>358</v>
      </c>
      <c r="D2" t="s">
        <v>86</v>
      </c>
      <c r="E2" s="45">
        <f>(SUM(Inputs!N63:N73, Inputs!N77:N80)) / GCD((SUM(Inputs!N63:N73, Inputs!N77:N80)), (SUM(Inputs!O63:O73, Inputs!O77:O80)))</f>
        <v>7.5049999999999999</v>
      </c>
      <c r="F2" s="45">
        <v>7.5</v>
      </c>
    </row>
    <row r="3" spans="2:6" x14ac:dyDescent="0.3">
      <c r="B3" t="s">
        <v>370</v>
      </c>
      <c r="C3" t="s">
        <v>371</v>
      </c>
      <c r="D3" t="s">
        <v>282</v>
      </c>
      <c r="E3" s="45">
        <f>(SUM(Inputs!O63:O73, Inputs!O77:O80)) / GCD((SUM(Inputs!N63:N73, Inputs!N77:N80)), (SUM(Inputs!O63:O73, Inputs!O77:O80)))</f>
        <v>5.1275000000000004</v>
      </c>
      <c r="F3" s="45">
        <v>5.0999999999999996</v>
      </c>
    </row>
    <row r="4" spans="2:6" ht="16.2" x14ac:dyDescent="0.3">
      <c r="B4" t="s">
        <v>420</v>
      </c>
      <c r="C4" t="s">
        <v>421</v>
      </c>
    </row>
    <row r="5" spans="2:6" x14ac:dyDescent="0.3"/>
    <row r="6" spans="2:6" x14ac:dyDescent="0.3">
      <c r="C6" s="57" t="s">
        <v>457</v>
      </c>
    </row>
    <row r="7" spans="2:6" x14ac:dyDescent="0.3">
      <c r="C7" s="58" t="s">
        <v>458</v>
      </c>
    </row>
    <row r="8" spans="2:6" x14ac:dyDescent="0.3"/>
    <row r="9" spans="2:6" x14ac:dyDescent="0.3"/>
    <row r="10" spans="2:6" x14ac:dyDescent="0.3"/>
    <row r="11" spans="2:6" x14ac:dyDescent="0.3"/>
  </sheetData>
  <pageMargins left="1.5354330708661419" right="1.0236220472440944" top="1.0236220472440944" bottom="1.0236220472440944" header="0.31496062992125984" footer="0.31496062992125984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Energy</vt:lpstr>
      <vt:lpstr>Carbon</vt:lpstr>
      <vt:lpstr>Water</vt:lpstr>
      <vt:lpstr>Waste_Materials</vt:lpstr>
      <vt:lpstr>Biodiversity</vt:lpstr>
      <vt:lpstr>Metrics</vt:lpstr>
      <vt:lpstr>Inputs</vt:lpstr>
      <vt:lpstr>Conversions</vt:lpstr>
      <vt:lpstr>ROUGH</vt:lpstr>
      <vt:lpstr>Biodiversity!FuelList</vt:lpstr>
      <vt:lpstr>Carbon!FuelList</vt:lpstr>
      <vt:lpstr>Home!FuelList</vt:lpstr>
      <vt:lpstr>Waste_Materials!FuelList</vt:lpstr>
      <vt:lpstr>Water!FuelList</vt:lpstr>
      <vt:lpstr>FuelList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Hassan M Kamal</dc:creator>
  <cp:keywords>Keywords</cp:keywords>
  <cp:lastModifiedBy>Hassan M Kamal</cp:lastModifiedBy>
  <cp:lastPrinted>2026-06-12T13:57:20Z</cp:lastPrinted>
  <dcterms:created xsi:type="dcterms:W3CDTF">2026-06-06T18:00:50Z</dcterms:created>
  <dcterms:modified xsi:type="dcterms:W3CDTF">2026-06-13T18:38:23Z</dcterms:modified>
</cp:coreProperties>
</file>